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orksheet" sheetId="1" r:id="rId4"/>
    <sheet state="visible" name="Quiz Marks" sheetId="2" r:id="rId5"/>
    <sheet state="visible" name="Mid Marks" sheetId="3" r:id="rId6"/>
    <sheet state="visible" name="Final Marks" sheetId="4" r:id="rId7"/>
    <sheet state="visible" name="Gradesheet" sheetId="5" r:id="rId8"/>
  </sheets>
  <definedNames/>
  <calcPr/>
  <extLst>
    <ext uri="GoogleSheetsCustomDataVersion2">
      <go:sheetsCustomData xmlns:go="http://customooxmlschemas.google.com/" r:id="rId9" roundtripDataChecksum="diPRXU7QtC6P4va4f4YjG8DZ6Nt/WOF4Nzx7FM1HNZs="/>
    </ext>
  </extLst>
</workbook>
</file>

<file path=xl/sharedStrings.xml><?xml version="1.0" encoding="utf-8"?>
<sst xmlns="http://schemas.openxmlformats.org/spreadsheetml/2006/main" count="777" uniqueCount="219">
  <si>
    <t>QUIZ MARKS</t>
  </si>
  <si>
    <t>Mid Marks</t>
  </si>
  <si>
    <t>BRAC University</t>
  </si>
  <si>
    <t>SL</t>
  </si>
  <si>
    <t>Final Marks</t>
  </si>
  <si>
    <t>Student Id</t>
  </si>
  <si>
    <t>Name</t>
  </si>
  <si>
    <t>Quiz-01 (20 Marks)</t>
  </si>
  <si>
    <t>Quiz-02 (20 Marks)</t>
  </si>
  <si>
    <t>Q1 6 Marks</t>
  </si>
  <si>
    <t>Quiz-03 (15 Marks)</t>
  </si>
  <si>
    <t>Quiz-04 (20 Marks)</t>
  </si>
  <si>
    <t>Quiz-01</t>
  </si>
  <si>
    <t>Q2 8 Marks</t>
  </si>
  <si>
    <t>Q3 6 Marks</t>
  </si>
  <si>
    <t>Q4 10 Marks</t>
  </si>
  <si>
    <t>Total 30 Marks</t>
  </si>
  <si>
    <t>Total 25%</t>
  </si>
  <si>
    <t>Quiz-02</t>
  </si>
  <si>
    <t>Quiz-03</t>
  </si>
  <si>
    <t>Quiz-04</t>
  </si>
  <si>
    <t>Total 15%</t>
  </si>
  <si>
    <t>Q1 (6 marks)</t>
  </si>
  <si>
    <t>Q2 (8 marks)</t>
  </si>
  <si>
    <t>Q3 (4 marks)</t>
  </si>
  <si>
    <t>Q4 (6 marks)</t>
  </si>
  <si>
    <t>Q5 (11 marks)</t>
  </si>
  <si>
    <t>Total</t>
  </si>
  <si>
    <t>Advising Section Confirmation Status</t>
  </si>
  <si>
    <t>22301333</t>
  </si>
  <si>
    <t>Nazmus Sakib</t>
  </si>
  <si>
    <t>Session:SUMMER 2026</t>
  </si>
  <si>
    <t>Academic Degree Undergraduate</t>
  </si>
  <si>
    <t xml:space="preserve">Course: CSE220 - 12 </t>
  </si>
  <si>
    <t>23301549</t>
  </si>
  <si>
    <t>Navid Mahmood</t>
  </si>
  <si>
    <t>23301673</t>
  </si>
  <si>
    <t>Mahiba Tasnim</t>
  </si>
  <si>
    <t>23201533</t>
  </si>
  <si>
    <t>Nusrat Jahan Arpa</t>
  </si>
  <si>
    <t>Program</t>
  </si>
  <si>
    <t>24101194</t>
  </si>
  <si>
    <t>Ohi Ahmed</t>
  </si>
  <si>
    <t>Email</t>
  </si>
  <si>
    <t>Phone</t>
  </si>
  <si>
    <t>Course Code</t>
  </si>
  <si>
    <t>Section</t>
  </si>
  <si>
    <t>Section Type</t>
  </si>
  <si>
    <t>Course Faculty</t>
  </si>
  <si>
    <t>24101253</t>
  </si>
  <si>
    <t>Confirmation Status</t>
  </si>
  <si>
    <t>Md. Asiful Islam</t>
  </si>
  <si>
    <t>24301317</t>
  </si>
  <si>
    <t>Ashmita Deb Nath</t>
  </si>
  <si>
    <t>CSE</t>
  </si>
  <si>
    <t>24301488</t>
  </si>
  <si>
    <t>Obontika Rashid Prethula</t>
  </si>
  <si>
    <t>nazmus.sakib10@g.bracu.ac.bd</t>
  </si>
  <si>
    <t>01316314221</t>
  </si>
  <si>
    <t>CSE220</t>
  </si>
  <si>
    <t>12</t>
  </si>
  <si>
    <t>OTHER</t>
  </si>
  <si>
    <t>SWG</t>
  </si>
  <si>
    <t>Yes</t>
  </si>
  <si>
    <t>24341037</t>
  </si>
  <si>
    <t>Abrar Yaman Reza</t>
  </si>
  <si>
    <t>24201116</t>
  </si>
  <si>
    <t>Zarif Tausif Ahmed Nafi</t>
  </si>
  <si>
    <t>navid.mahmood@g.bracu.ac.bd</t>
  </si>
  <si>
    <t>01976500243</t>
  </si>
  <si>
    <t>22101447</t>
  </si>
  <si>
    <t>Showrav Sutradhar</t>
  </si>
  <si>
    <t>mahiba.tasnim@g.bracu.ac.bd</t>
  </si>
  <si>
    <t>01947137857</t>
  </si>
  <si>
    <t>nusrat.jahan.arpa@g.bracu.ac.bd</t>
  </si>
  <si>
    <t>01759215094</t>
  </si>
  <si>
    <t>22201450</t>
  </si>
  <si>
    <t>Mamduha Akter</t>
  </si>
  <si>
    <t>ohi.ahmed@g.bracu.ac.bd</t>
  </si>
  <si>
    <t>01886695425</t>
  </si>
  <si>
    <t>23301249</t>
  </si>
  <si>
    <t>Md. Rafsan Elahi</t>
  </si>
  <si>
    <t>md.asiful.islam3@g.bracu.ac.bd</t>
  </si>
  <si>
    <t>01810519940</t>
  </si>
  <si>
    <t>24301057</t>
  </si>
  <si>
    <t>Zarif Abrar Jamil</t>
  </si>
  <si>
    <t>ashmita.deb.nath@g.bracu.ac.bd</t>
  </si>
  <si>
    <t>01819494680</t>
  </si>
  <si>
    <t>24301115</t>
  </si>
  <si>
    <t>Nusrat Jahan</t>
  </si>
  <si>
    <t>obontika.rashid.prethula@g.bracu.ac.bd</t>
  </si>
  <si>
    <t>01994782492</t>
  </si>
  <si>
    <t>24301414</t>
  </si>
  <si>
    <t>Khandaker Madiha Muminah</t>
  </si>
  <si>
    <t>CS</t>
  </si>
  <si>
    <t>abrar.yaman.reza@g.bracu.ac.bd</t>
  </si>
  <si>
    <t>24201260</t>
  </si>
  <si>
    <t>01975376502</t>
  </si>
  <si>
    <t>Md.Abdullah-Al-Kafi</t>
  </si>
  <si>
    <t>24201244</t>
  </si>
  <si>
    <t>Ifran Hossain Sazid</t>
  </si>
  <si>
    <t>zarif.tausif.ahmed@g.bracu.ac.bd</t>
  </si>
  <si>
    <t>01314661974</t>
  </si>
  <si>
    <t>24201366</t>
  </si>
  <si>
    <t>Lamiea Amzad Suhana</t>
  </si>
  <si>
    <t>showrav.sutradhar@g.bracu.ac.bd</t>
  </si>
  <si>
    <t>01834246042</t>
  </si>
  <si>
    <t>mamduha.akter@g.bracu.ac.bd</t>
  </si>
  <si>
    <t>01645227258</t>
  </si>
  <si>
    <t>Faria Fannana Toree</t>
  </si>
  <si>
    <t>1000054019</t>
  </si>
  <si>
    <t>md.rafsan.elahi@g.bracu.ac.bd</t>
  </si>
  <si>
    <t>Md. Abrarul Haque Pathan</t>
  </si>
  <si>
    <t>01980371327</t>
  </si>
  <si>
    <t>1000054082</t>
  </si>
  <si>
    <t>Kamruzzaman Chowdhury</t>
  </si>
  <si>
    <t>zarif.abrar.jamil@g.bracu.ac.bd</t>
  </si>
  <si>
    <t>01834840015</t>
  </si>
  <si>
    <t>1000054210</t>
  </si>
  <si>
    <t>Adnan Tazbir Arian</t>
  </si>
  <si>
    <t>24215001</t>
  </si>
  <si>
    <t>nusrat.jahan37@g.bracu.ac.bd</t>
  </si>
  <si>
    <t>01726293888</t>
  </si>
  <si>
    <t>1000054898</t>
  </si>
  <si>
    <t>Ryan Amin</t>
  </si>
  <si>
    <t>1000054905</t>
  </si>
  <si>
    <t>khandaker.madiha.muminah@g.bracu.ac.bd</t>
  </si>
  <si>
    <t>Md. Yasin Islam Khan</t>
  </si>
  <si>
    <t>01756062342</t>
  </si>
  <si>
    <t>1000055328</t>
  </si>
  <si>
    <t>Mos. Tawhida Rahman Tasfia</t>
  </si>
  <si>
    <t>abdullah.al.kafi1@g.bracu.ac.bd</t>
  </si>
  <si>
    <t>01315191684</t>
  </si>
  <si>
    <t>1000055346</t>
  </si>
  <si>
    <t>Emranul Haq Atonu</t>
  </si>
  <si>
    <t>ifran.hossain.sazid@g.bracu.ac.bd</t>
  </si>
  <si>
    <t>+8801750339781</t>
  </si>
  <si>
    <t>1000055421</t>
  </si>
  <si>
    <t>lamiea.amzad.suhana@g.bracu.ac.bd</t>
  </si>
  <si>
    <t>Nazia Tabassum Nawmee</t>
  </si>
  <si>
    <t>01711456390</t>
  </si>
  <si>
    <t>23101383</t>
  </si>
  <si>
    <t>Raduan Rahman Ridoy</t>
  </si>
  <si>
    <t>APE</t>
  </si>
  <si>
    <t>faria.fannana.toree@g.bracu.ac.bd</t>
  </si>
  <si>
    <t>01552469567</t>
  </si>
  <si>
    <t>24121350</t>
  </si>
  <si>
    <t>Md.Fahim Muntasir</t>
  </si>
  <si>
    <t>abrarul.haque.pathan@g.bracu.ac.bd</t>
  </si>
  <si>
    <t>+8801703302423</t>
  </si>
  <si>
    <t>1000058970</t>
  </si>
  <si>
    <t>Amitrakshar Biswas</t>
  </si>
  <si>
    <t>24321209</t>
  </si>
  <si>
    <t>Subhaha Israth Jahaan</t>
  </si>
  <si>
    <t>kamruzzaman.chowdhury@g.bracu.ac.bd</t>
  </si>
  <si>
    <t>+8801329602758</t>
  </si>
  <si>
    <t>24121314</t>
  </si>
  <si>
    <t>Mostofa Galib</t>
  </si>
  <si>
    <t>adnan.tazbir.arian@g.bracu.ac.bd</t>
  </si>
  <si>
    <t>+8801623839320</t>
  </si>
  <si>
    <t>24101166</t>
  </si>
  <si>
    <t>Tahsin Ahmed</t>
  </si>
  <si>
    <t>ryan.amin@g.bracu.ac.bd</t>
  </si>
  <si>
    <t>24321189</t>
  </si>
  <si>
    <t>+8801617360700</t>
  </si>
  <si>
    <t>A K M Amirul Muminin Sadi</t>
  </si>
  <si>
    <t>23301466</t>
  </si>
  <si>
    <t>Shadman Sakib</t>
  </si>
  <si>
    <t>yasin.islam.khan@g.bracu.ac.bd</t>
  </si>
  <si>
    <t>+8801617641154</t>
  </si>
  <si>
    <t>1000054061</t>
  </si>
  <si>
    <t>Sikder Atif Abrar</t>
  </si>
  <si>
    <t>tawhida.rahman.tasfia@g.bracu.ac.bd</t>
  </si>
  <si>
    <t>+8801709791000</t>
  </si>
  <si>
    <t>24321241</t>
  </si>
  <si>
    <t>Tasnimul Hassan</t>
  </si>
  <si>
    <t>24321176</t>
  </si>
  <si>
    <t>emranul.haq.atonu@g.bracu.ac.bd</t>
  </si>
  <si>
    <t>Talha Bin Salam</t>
  </si>
  <si>
    <t>+8801967833524</t>
  </si>
  <si>
    <t>24321192</t>
  </si>
  <si>
    <t>Shadman Ahmed</t>
  </si>
  <si>
    <t>BBA</t>
  </si>
  <si>
    <t>nazia.tabassum.nawmee@g.bracu.ac.bd</t>
  </si>
  <si>
    <t>+8801829343479</t>
  </si>
  <si>
    <t>raduan.rahman.ridoy@g.bracu.ac.bd</t>
  </si>
  <si>
    <t>01609202799</t>
  </si>
  <si>
    <t>md.fahim.muntasir1@g.bracu.ac.bd</t>
  </si>
  <si>
    <t>01617826323</t>
  </si>
  <si>
    <t>amitrakshar.biswas@g.bracu.ac.bd</t>
  </si>
  <si>
    <t>+8801845326811</t>
  </si>
  <si>
    <t>subhaha.israth.jahaan@g.bracu.ac.bd</t>
  </si>
  <si>
    <t>01970388043</t>
  </si>
  <si>
    <t>mostofa.galib1@g.bracu.ac.bd</t>
  </si>
  <si>
    <t>01676414029</t>
  </si>
  <si>
    <t>tahsin.ahmed3@g.bracu.ac.bd</t>
  </si>
  <si>
    <t>01681410572</t>
  </si>
  <si>
    <t>amirul.muminin.sadi@g.bracu.ac.bd</t>
  </si>
  <si>
    <t>01865508389</t>
  </si>
  <si>
    <t>shadman.sakib12@g.bracu.ac.bd</t>
  </si>
  <si>
    <t>01915702099</t>
  </si>
  <si>
    <t>atif.abrar1125@gmail.com</t>
  </si>
  <si>
    <t>+8801747720514</t>
  </si>
  <si>
    <t>tasnimul.hassan2@g.bracu.ac.bd</t>
  </si>
  <si>
    <t>+8801533655563</t>
  </si>
  <si>
    <t>talha.bin.salam@g.bracu.ac.bd</t>
  </si>
  <si>
    <t>01315899727</t>
  </si>
  <si>
    <t>shadman.ahmed2@g.bracu.ac.bd</t>
  </si>
  <si>
    <t>+8801339303903</t>
  </si>
  <si>
    <t>GRADESHEET CSE220 ~ 12</t>
  </si>
  <si>
    <t>Sl</t>
  </si>
  <si>
    <t>Quiz (15%)</t>
  </si>
  <si>
    <t>Lab (25%)</t>
  </si>
  <si>
    <t>Mid (25%)</t>
  </si>
  <si>
    <t>Finals (35%)</t>
  </si>
  <si>
    <t>Total (100 Marks)</t>
  </si>
  <si>
    <t>Total (100% Marks)</t>
  </si>
  <si>
    <t>GRADES</t>
  </si>
  <si>
    <t>23.9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</si>
</sst>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4">
    <font>
      <sz val="11.0"/>
      <color rgb="FF000000"/>
      <name val="Calibri"/>
      <scheme val="minor"/>
    </font>
    <font>
      <sz val="11.0"/>
      <color theme="1"/>
      <name val="Calibri"/>
    </font>
    <font>
      <b/>
      <sz val="17.0"/>
      <color theme="1"/>
      <name val="Calibri"/>
    </font>
    <font>
      <b/>
      <sz val="18.0"/>
      <color theme="1"/>
      <name val="Comfortaa"/>
    </font>
    <font>
      <b/>
      <sz val="11.0"/>
      <color rgb="FF000000"/>
      <name val="Arial"/>
    </font>
    <font>
      <b/>
      <sz val="12.0"/>
      <color rgb="FF000000"/>
      <name val="Arial"/>
    </font>
    <font/>
    <font>
      <b/>
      <color theme="1"/>
      <name val="Comfortaa"/>
    </font>
    <font>
      <b/>
      <sz val="11.0"/>
      <color theme="1"/>
      <name val="Arial"/>
    </font>
    <font>
      <b/>
      <sz val="11.0"/>
      <color theme="1"/>
      <name val="Comfortaa"/>
    </font>
    <font>
      <sz val="11.0"/>
      <color theme="1"/>
      <name val="Arial"/>
    </font>
    <font>
      <sz val="11.0"/>
      <color rgb="FF000000"/>
      <name val="Arial"/>
    </font>
    <font>
      <color theme="1"/>
      <name val="Calibri"/>
      <scheme val="minor"/>
    </font>
    <font>
      <color theme="1"/>
      <name val="Arial"/>
    </font>
    <font>
      <b/>
      <sz val="12.0"/>
      <color theme="1"/>
      <name val="Calibri"/>
    </font>
    <font>
      <sz val="10.0"/>
      <color rgb="FF000000"/>
      <name val="Arial"/>
    </font>
    <font>
      <b/>
      <sz val="13.0"/>
      <color rgb="FFFF00FF"/>
      <name val="Consolas"/>
    </font>
    <font>
      <sz val="11.0"/>
      <color rgb="FF000000"/>
      <name val="Calibri"/>
    </font>
    <font>
      <b/>
      <sz val="14.0"/>
      <color rgb="FFFF00FF"/>
      <name val="Calibri"/>
      <scheme val="minor"/>
    </font>
    <font>
      <b/>
      <sz val="13.0"/>
      <color rgb="FFFF00FF"/>
      <name val="Calibri"/>
      <scheme val="minor"/>
    </font>
    <font>
      <b/>
      <i/>
      <sz val="13.0"/>
      <color theme="1"/>
      <name val="Arial"/>
    </font>
    <font>
      <b/>
      <sz val="12.0"/>
      <color theme="1"/>
      <name val="Arial"/>
    </font>
    <font>
      <b/>
      <sz val="11.0"/>
      <color theme="1"/>
      <name val="Calibri"/>
    </font>
    <font>
      <sz val="11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2" fillId="2" fontId="5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horizontal="left" shrinkToFit="0" vertical="center" wrapText="0"/>
    </xf>
    <xf borderId="3" fillId="0" fontId="6" numFmtId="0" xfId="0" applyBorder="1" applyFont="1"/>
    <xf borderId="1" fillId="2" fontId="4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/>
    </xf>
    <xf borderId="1" fillId="2" fontId="8" numFmtId="0" xfId="0" applyBorder="1" applyFill="1" applyFont="1"/>
    <xf borderId="4" fillId="0" fontId="1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2" fontId="8" numFmtId="0" xfId="0" applyAlignment="1" applyBorder="1" applyFill="1" applyFont="1">
      <alignment horizontal="center"/>
    </xf>
    <xf borderId="5" fillId="0" fontId="6" numFmtId="0" xfId="0" applyBorder="1" applyFont="1"/>
    <xf borderId="1" fillId="0" fontId="10" numFmtId="0" xfId="0" applyAlignment="1" applyBorder="1" applyFont="1">
      <alignment horizontal="left" readingOrder="0"/>
    </xf>
    <xf borderId="1" fillId="2" fontId="11" numFmtId="49" xfId="0" applyAlignment="1" applyBorder="1" applyFill="1" applyFont="1" applyNumberFormat="1">
      <alignment horizontal="left" shrinkToFit="0" vertical="center" wrapText="0"/>
    </xf>
    <xf borderId="1" fillId="2" fontId="11" numFmtId="49" xfId="0" applyAlignment="1" applyBorder="1" applyFill="1" applyFont="1" applyNumberFormat="1">
      <alignment horizontal="left" shrinkToFit="0" vertical="bottom" wrapText="0"/>
    </xf>
    <xf borderId="6" fillId="0" fontId="10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6" fillId="0" fontId="13" numFmtId="0" xfId="0" applyAlignment="1" applyBorder="1" applyFont="1">
      <alignment readingOrder="0"/>
    </xf>
    <xf borderId="1" fillId="0" fontId="12" numFmtId="0" xfId="0" applyBorder="1" applyFont="1"/>
    <xf borderId="7" fillId="0" fontId="12" numFmtId="0" xfId="0" applyAlignment="1" applyBorder="1" applyFont="1">
      <alignment readingOrder="0"/>
    </xf>
    <xf borderId="6" fillId="0" fontId="12" numFmtId="0" xfId="0" applyAlignment="1" applyBorder="1" applyFont="1">
      <alignment readingOrder="0"/>
    </xf>
    <xf borderId="8" fillId="0" fontId="12" numFmtId="0" xfId="0" applyAlignment="1" applyBorder="1" applyFont="1">
      <alignment readingOrder="0"/>
    </xf>
    <xf borderId="9" fillId="0" fontId="12" numFmtId="0" xfId="0" applyAlignment="1" applyBorder="1" applyFont="1">
      <alignment readingOrder="0"/>
    </xf>
    <xf borderId="2" fillId="2" fontId="5" numFmtId="0" xfId="0" applyAlignment="1" applyBorder="1" applyFill="1" applyFont="1">
      <alignment horizontal="left" shrinkToFit="0" vertical="center" wrapText="0"/>
    </xf>
    <xf borderId="1" fillId="0" fontId="1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left"/>
    </xf>
    <xf borderId="0" fillId="0" fontId="14" numFmtId="164" xfId="0" applyAlignment="1" applyFont="1" applyNumberFormat="1">
      <alignment horizontal="right" vertical="bottom"/>
    </xf>
    <xf borderId="8" fillId="0" fontId="12" numFmtId="0" xfId="0" applyBorder="1" applyFont="1"/>
    <xf borderId="1" fillId="0" fontId="1" numFmtId="164" xfId="0" applyAlignment="1" applyBorder="1" applyFont="1" applyNumberFormat="1">
      <alignment horizontal="right" vertical="bottom"/>
    </xf>
    <xf borderId="1" fillId="2" fontId="5" numFmtId="0" xfId="0" applyAlignment="1" applyBorder="1" applyFill="1" applyFont="1">
      <alignment horizontal="left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10" fillId="0" fontId="10" numFmtId="0" xfId="0" applyAlignment="1" applyBorder="1" applyFont="1">
      <alignment readingOrder="0"/>
    </xf>
    <xf borderId="10" fillId="3" fontId="13" numFmtId="0" xfId="0" applyAlignment="1" applyBorder="1" applyFill="1" applyFont="1">
      <alignment readingOrder="0"/>
    </xf>
    <xf borderId="7" fillId="0" fontId="12" numFmtId="0" xfId="0" applyBorder="1" applyFont="1"/>
    <xf borderId="10" fillId="0" fontId="12" numFmtId="0" xfId="0" applyAlignment="1" applyBorder="1" applyFont="1">
      <alignment readingOrder="0"/>
    </xf>
    <xf borderId="1" fillId="4" fontId="11" numFmtId="49" xfId="0" applyAlignment="1" applyBorder="1" applyFill="1" applyFont="1" applyNumberFormat="1">
      <alignment horizontal="left" shrinkToFit="0" vertical="bottom" wrapText="0"/>
    </xf>
    <xf borderId="1" fillId="2" fontId="15" numFmtId="49" xfId="0" applyAlignment="1" applyBorder="1" applyFill="1" applyFont="1" applyNumberFormat="1">
      <alignment horizontal="left" shrinkToFit="0" vertical="center" wrapText="0"/>
    </xf>
    <xf borderId="10" fillId="0" fontId="10" numFmtId="0" xfId="0" applyBorder="1" applyFont="1"/>
    <xf borderId="1" fillId="2" fontId="15" numFmtId="49" xfId="0" applyAlignment="1" applyBorder="1" applyFill="1" applyFont="1" applyNumberFormat="1">
      <alignment horizontal="left" shrinkToFit="0" vertical="bottom" wrapText="0"/>
    </xf>
    <xf borderId="10" fillId="0" fontId="13" numFmtId="0" xfId="0" applyBorder="1" applyFont="1"/>
    <xf borderId="10" fillId="3" fontId="12" numFmtId="0" xfId="0" applyAlignment="1" applyBorder="1" applyFill="1" applyFont="1">
      <alignment readingOrder="0"/>
    </xf>
    <xf borderId="9" fillId="0" fontId="12" numFmtId="0" xfId="0" applyBorder="1" applyFont="1"/>
    <xf borderId="10" fillId="0" fontId="13" numFmtId="0" xfId="0" applyAlignment="1" applyBorder="1" applyFont="1">
      <alignment readingOrder="0"/>
    </xf>
    <xf borderId="0" fillId="0" fontId="12" numFmtId="0" xfId="0" applyFont="1"/>
    <xf borderId="10" fillId="3" fontId="10" numFmtId="0" xfId="0" applyAlignment="1" applyBorder="1" applyFill="1" applyFont="1">
      <alignment readingOrder="0"/>
    </xf>
    <xf borderId="1" fillId="0" fontId="10" numFmtId="49" xfId="0" applyAlignment="1" applyBorder="1" applyFont="1" applyNumberFormat="1">
      <alignment horizontal="left"/>
    </xf>
    <xf borderId="10" fillId="0" fontId="12" numFmtId="0" xfId="0" applyBorder="1" applyFont="1"/>
    <xf borderId="0" fillId="0" fontId="16" numFmtId="0" xfId="0" applyFont="1"/>
    <xf borderId="0" fillId="0" fontId="17" numFmtId="49" xfId="0" applyAlignment="1" applyFont="1" applyNumberFormat="1">
      <alignment horizontal="left" shrinkToFit="0" vertical="bottom" wrapText="0"/>
    </xf>
    <xf borderId="0" fillId="0" fontId="18" numFmtId="0" xfId="0" applyFont="1"/>
    <xf borderId="11" fillId="0" fontId="10" numFmtId="0" xfId="0" applyAlignment="1" applyBorder="1" applyFont="1">
      <alignment readingOrder="0"/>
    </xf>
    <xf borderId="11" fillId="0" fontId="13" numFmtId="0" xfId="0" applyAlignment="1" applyBorder="1" applyFont="1">
      <alignment readingOrder="0"/>
    </xf>
    <xf borderId="11" fillId="0" fontId="12" numFmtId="0" xfId="0" applyAlignment="1" applyBorder="1" applyFont="1">
      <alignment readingOrder="0"/>
    </xf>
    <xf borderId="0" fillId="0" fontId="19" numFmtId="0" xfId="0" applyFont="1"/>
    <xf borderId="0" fillId="5" fontId="1" numFmtId="0" xfId="0" applyAlignment="1" applyFill="1" applyFont="1">
      <alignment vertical="bottom"/>
    </xf>
    <xf borderId="2" fillId="5" fontId="1" numFmtId="0" xfId="0" applyAlignment="1" applyBorder="1" applyFill="1" applyFont="1">
      <alignment vertical="bottom"/>
    </xf>
    <xf borderId="2" fillId="5" fontId="20" numFmtId="0" xfId="0" applyAlignment="1" applyBorder="1" applyFill="1" applyFont="1">
      <alignment horizontal="center" readingOrder="0" vertical="bottom"/>
    </xf>
    <xf borderId="1" fillId="2" fontId="21" numFmtId="0" xfId="0" applyAlignment="1" applyBorder="1" applyFill="1" applyFont="1">
      <alignment vertical="bottom"/>
    </xf>
    <xf borderId="1" fillId="2" fontId="21" numFmtId="0" xfId="0" applyAlignment="1" applyBorder="1" applyFill="1" applyFont="1">
      <alignment horizontal="center" vertical="bottom"/>
    </xf>
    <xf borderId="1" fillId="0" fontId="22" numFmtId="0" xfId="0" applyAlignment="1" applyBorder="1" applyFont="1">
      <alignment shrinkToFit="0" vertical="bottom" wrapText="1"/>
    </xf>
    <xf borderId="0" fillId="0" fontId="12" numFmtId="164" xfId="0" applyFont="1" applyNumberFormat="1"/>
    <xf borderId="0" fillId="0" fontId="12" numFmtId="0" xfId="0" applyAlignment="1" applyFont="1">
      <alignment readingOrder="0"/>
    </xf>
    <xf borderId="11" fillId="0" fontId="23" numFmtId="2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horizontal="center" vertical="bottom"/>
    </xf>
    <xf borderId="0" fillId="0" fontId="12" numFmtId="49" xfId="0" applyAlignment="1" applyFont="1" applyNumberFormat="1">
      <alignment horizontal="right" readingOrder="0"/>
    </xf>
    <xf borderId="0" fillId="0" fontId="1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0.86"/>
    <col customWidth="1" min="3" max="3" width="13.57"/>
    <col customWidth="1" min="4" max="4" width="44.57"/>
    <col customWidth="1" min="5" max="5" width="17.14"/>
    <col customWidth="1" min="6" max="6" width="19.0"/>
    <col customWidth="1" min="7" max="7" width="13.57"/>
    <col customWidth="1" min="8" max="8" width="20.43"/>
    <col customWidth="1" min="9" max="9" width="23.14"/>
    <col customWidth="1" min="10" max="10" width="30.0"/>
    <col customWidth="1" min="11" max="26" width="8.71"/>
  </cols>
  <sheetData>
    <row r="1" ht="14.25" customHeight="1">
      <c r="A1" s="6" t="s">
        <v>2</v>
      </c>
      <c r="B1" s="8"/>
      <c r="C1" s="8"/>
      <c r="D1" s="8"/>
      <c r="E1" s="8"/>
      <c r="F1" s="8"/>
      <c r="G1" s="8"/>
      <c r="H1" s="8"/>
      <c r="I1" s="8"/>
      <c r="J1" s="16"/>
    </row>
    <row r="2" ht="14.25" customHeight="1">
      <c r="A2" s="6" t="s">
        <v>28</v>
      </c>
      <c r="B2" s="8"/>
      <c r="C2" s="8"/>
      <c r="D2" s="8"/>
      <c r="E2" s="8"/>
      <c r="F2" s="8"/>
      <c r="G2" s="8"/>
      <c r="H2" s="8"/>
      <c r="I2" s="8"/>
      <c r="J2" s="16"/>
    </row>
    <row r="3" ht="14.25" customHeight="1">
      <c r="A3" s="28" t="s">
        <v>31</v>
      </c>
      <c r="B3" s="8"/>
      <c r="C3" s="8"/>
      <c r="D3" s="8"/>
      <c r="E3" s="8"/>
      <c r="F3" s="8"/>
      <c r="G3" s="8"/>
      <c r="H3" s="8"/>
      <c r="I3" s="8"/>
      <c r="J3" s="16"/>
    </row>
    <row r="4" ht="14.25" customHeight="1">
      <c r="A4" s="28" t="s">
        <v>32</v>
      </c>
      <c r="B4" s="8"/>
      <c r="C4" s="8"/>
      <c r="D4" s="8"/>
      <c r="E4" s="8"/>
      <c r="F4" s="8"/>
      <c r="G4" s="8"/>
      <c r="H4" s="8"/>
      <c r="I4" s="8"/>
      <c r="J4" s="16"/>
    </row>
    <row r="5" ht="14.25" customHeight="1">
      <c r="A5" s="28" t="s">
        <v>33</v>
      </c>
      <c r="B5" s="8"/>
      <c r="C5" s="8"/>
      <c r="D5" s="8"/>
      <c r="E5" s="8"/>
      <c r="F5" s="8"/>
      <c r="G5" s="8"/>
      <c r="H5" s="8"/>
      <c r="I5" s="8"/>
      <c r="J5" s="16"/>
    </row>
    <row r="6" ht="14.25" customHeight="1">
      <c r="A6" s="28"/>
      <c r="B6" s="8"/>
      <c r="C6" s="8"/>
      <c r="D6" s="8"/>
      <c r="E6" s="8"/>
      <c r="F6" s="8"/>
      <c r="G6" s="8"/>
      <c r="H6" s="8"/>
      <c r="I6" s="8"/>
      <c r="J6" s="16"/>
    </row>
    <row r="7" ht="14.25" customHeight="1">
      <c r="A7" s="34" t="s">
        <v>5</v>
      </c>
      <c r="B7" s="35" t="s">
        <v>6</v>
      </c>
      <c r="C7" s="35" t="s">
        <v>40</v>
      </c>
      <c r="D7" s="35" t="s">
        <v>43</v>
      </c>
      <c r="E7" s="35" t="s">
        <v>44</v>
      </c>
      <c r="F7" s="35" t="s">
        <v>45</v>
      </c>
      <c r="G7" s="35" t="s">
        <v>46</v>
      </c>
      <c r="H7" s="35" t="s">
        <v>47</v>
      </c>
      <c r="I7" s="35" t="s">
        <v>48</v>
      </c>
      <c r="J7" s="35" t="s">
        <v>50</v>
      </c>
    </row>
    <row r="8" ht="14.25" customHeight="1">
      <c r="A8" s="41" t="s">
        <v>29</v>
      </c>
      <c r="B8" s="43" t="s">
        <v>30</v>
      </c>
      <c r="C8" s="43" t="s">
        <v>54</v>
      </c>
      <c r="D8" s="43" t="s">
        <v>57</v>
      </c>
      <c r="E8" s="43" t="s">
        <v>58</v>
      </c>
      <c r="F8" s="43" t="s">
        <v>59</v>
      </c>
      <c r="G8" s="43" t="s">
        <v>60</v>
      </c>
      <c r="H8" s="43" t="s">
        <v>61</v>
      </c>
      <c r="I8" s="43" t="s">
        <v>62</v>
      </c>
      <c r="J8" s="43" t="s">
        <v>63</v>
      </c>
    </row>
    <row r="9" ht="14.25" customHeight="1">
      <c r="A9" s="43" t="s">
        <v>34</v>
      </c>
      <c r="B9" s="43" t="s">
        <v>35</v>
      </c>
      <c r="C9" s="43" t="s">
        <v>54</v>
      </c>
      <c r="D9" s="43" t="s">
        <v>68</v>
      </c>
      <c r="E9" s="43" t="s">
        <v>69</v>
      </c>
      <c r="F9" s="43" t="s">
        <v>59</v>
      </c>
      <c r="G9" s="43" t="s">
        <v>60</v>
      </c>
      <c r="H9" s="43" t="s">
        <v>61</v>
      </c>
      <c r="I9" s="43" t="s">
        <v>62</v>
      </c>
      <c r="J9" s="43" t="s">
        <v>63</v>
      </c>
    </row>
    <row r="10" ht="14.25" customHeight="1">
      <c r="A10" s="43" t="s">
        <v>36</v>
      </c>
      <c r="B10" s="43" t="s">
        <v>37</v>
      </c>
      <c r="C10" s="43" t="s">
        <v>54</v>
      </c>
      <c r="D10" s="43" t="s">
        <v>72</v>
      </c>
      <c r="E10" s="43" t="s">
        <v>73</v>
      </c>
      <c r="F10" s="43" t="s">
        <v>59</v>
      </c>
      <c r="G10" s="43" t="s">
        <v>60</v>
      </c>
      <c r="H10" s="43" t="s">
        <v>61</v>
      </c>
      <c r="I10" s="43" t="s">
        <v>62</v>
      </c>
      <c r="J10" s="43" t="s">
        <v>63</v>
      </c>
    </row>
    <row r="11" ht="14.25" customHeight="1">
      <c r="A11" s="43" t="s">
        <v>38</v>
      </c>
      <c r="B11" s="43" t="s">
        <v>39</v>
      </c>
      <c r="C11" s="43" t="s">
        <v>54</v>
      </c>
      <c r="D11" s="43" t="s">
        <v>74</v>
      </c>
      <c r="E11" s="43" t="s">
        <v>75</v>
      </c>
      <c r="F11" s="43" t="s">
        <v>59</v>
      </c>
      <c r="G11" s="43" t="s">
        <v>60</v>
      </c>
      <c r="H11" s="43" t="s">
        <v>61</v>
      </c>
      <c r="I11" s="43" t="s">
        <v>62</v>
      </c>
      <c r="J11" s="43" t="s">
        <v>63</v>
      </c>
    </row>
    <row r="12" ht="14.25" customHeight="1">
      <c r="A12" s="43" t="s">
        <v>41</v>
      </c>
      <c r="B12" s="43" t="s">
        <v>42</v>
      </c>
      <c r="C12" s="43" t="s">
        <v>54</v>
      </c>
      <c r="D12" s="43" t="s">
        <v>78</v>
      </c>
      <c r="E12" s="43" t="s">
        <v>79</v>
      </c>
      <c r="F12" s="43" t="s">
        <v>59</v>
      </c>
      <c r="G12" s="43" t="s">
        <v>60</v>
      </c>
      <c r="H12" s="43" t="s">
        <v>61</v>
      </c>
      <c r="I12" s="43" t="s">
        <v>62</v>
      </c>
      <c r="J12" s="43" t="s">
        <v>63</v>
      </c>
    </row>
    <row r="13" ht="14.25" customHeight="1">
      <c r="A13" s="43" t="s">
        <v>49</v>
      </c>
      <c r="B13" s="43" t="s">
        <v>51</v>
      </c>
      <c r="C13" s="43" t="s">
        <v>54</v>
      </c>
      <c r="D13" s="43" t="s">
        <v>82</v>
      </c>
      <c r="E13" s="43" t="s">
        <v>83</v>
      </c>
      <c r="F13" s="43" t="s">
        <v>59</v>
      </c>
      <c r="G13" s="43" t="s">
        <v>60</v>
      </c>
      <c r="H13" s="43" t="s">
        <v>61</v>
      </c>
      <c r="I13" s="43" t="s">
        <v>62</v>
      </c>
      <c r="J13" s="43" t="s">
        <v>63</v>
      </c>
    </row>
    <row r="14" ht="14.25" customHeight="1">
      <c r="A14" s="43" t="s">
        <v>52</v>
      </c>
      <c r="B14" s="43" t="s">
        <v>53</v>
      </c>
      <c r="C14" s="43" t="s">
        <v>54</v>
      </c>
      <c r="D14" s="43" t="s">
        <v>86</v>
      </c>
      <c r="E14" s="43" t="s">
        <v>87</v>
      </c>
      <c r="F14" s="43" t="s">
        <v>59</v>
      </c>
      <c r="G14" s="43" t="s">
        <v>60</v>
      </c>
      <c r="H14" s="43" t="s">
        <v>61</v>
      </c>
      <c r="I14" s="43" t="s">
        <v>62</v>
      </c>
      <c r="J14" s="43" t="s">
        <v>63</v>
      </c>
    </row>
    <row r="15" ht="14.25" customHeight="1">
      <c r="A15" s="43" t="s">
        <v>55</v>
      </c>
      <c r="B15" s="43" t="s">
        <v>56</v>
      </c>
      <c r="C15" s="43" t="s">
        <v>54</v>
      </c>
      <c r="D15" s="43" t="s">
        <v>90</v>
      </c>
      <c r="E15" s="43" t="s">
        <v>91</v>
      </c>
      <c r="F15" s="43" t="s">
        <v>59</v>
      </c>
      <c r="G15" s="43" t="s">
        <v>60</v>
      </c>
      <c r="H15" s="43" t="s">
        <v>61</v>
      </c>
      <c r="I15" s="43" t="s">
        <v>62</v>
      </c>
      <c r="J15" s="43" t="s">
        <v>63</v>
      </c>
    </row>
    <row r="16" ht="14.25" customHeight="1">
      <c r="A16" s="43" t="s">
        <v>64</v>
      </c>
      <c r="B16" s="43" t="s">
        <v>65</v>
      </c>
      <c r="C16" s="43" t="s">
        <v>94</v>
      </c>
      <c r="D16" s="43" t="s">
        <v>95</v>
      </c>
      <c r="E16" s="43" t="s">
        <v>97</v>
      </c>
      <c r="F16" s="43" t="s">
        <v>59</v>
      </c>
      <c r="G16" s="43" t="s">
        <v>60</v>
      </c>
      <c r="H16" s="43" t="s">
        <v>61</v>
      </c>
      <c r="I16" s="43" t="s">
        <v>62</v>
      </c>
      <c r="J16" s="43" t="s">
        <v>63</v>
      </c>
    </row>
    <row r="17" ht="14.25" customHeight="1">
      <c r="A17" s="43" t="s">
        <v>66</v>
      </c>
      <c r="B17" s="43" t="s">
        <v>67</v>
      </c>
      <c r="C17" s="43" t="s">
        <v>54</v>
      </c>
      <c r="D17" s="43" t="s">
        <v>101</v>
      </c>
      <c r="E17" s="43" t="s">
        <v>102</v>
      </c>
      <c r="F17" s="43" t="s">
        <v>59</v>
      </c>
      <c r="G17" s="43" t="s">
        <v>60</v>
      </c>
      <c r="H17" s="43" t="s">
        <v>61</v>
      </c>
      <c r="I17" s="43" t="s">
        <v>62</v>
      </c>
      <c r="J17" s="43" t="s">
        <v>63</v>
      </c>
    </row>
    <row r="18" ht="14.25" customHeight="1">
      <c r="A18" s="43" t="s">
        <v>70</v>
      </c>
      <c r="B18" s="43" t="s">
        <v>71</v>
      </c>
      <c r="C18" s="43" t="s">
        <v>54</v>
      </c>
      <c r="D18" s="43" t="s">
        <v>105</v>
      </c>
      <c r="E18" s="43" t="s">
        <v>106</v>
      </c>
      <c r="F18" s="43" t="s">
        <v>59</v>
      </c>
      <c r="G18" s="43" t="s">
        <v>60</v>
      </c>
      <c r="H18" s="43" t="s">
        <v>61</v>
      </c>
      <c r="I18" s="43" t="s">
        <v>62</v>
      </c>
      <c r="J18" s="43" t="s">
        <v>63</v>
      </c>
    </row>
    <row r="19" ht="14.25" customHeight="1">
      <c r="A19" s="43" t="s">
        <v>76</v>
      </c>
      <c r="B19" s="43" t="s">
        <v>77</v>
      </c>
      <c r="C19" s="43" t="s">
        <v>54</v>
      </c>
      <c r="D19" s="43" t="s">
        <v>107</v>
      </c>
      <c r="E19" s="43" t="s">
        <v>108</v>
      </c>
      <c r="F19" s="43" t="s">
        <v>59</v>
      </c>
      <c r="G19" s="43" t="s">
        <v>60</v>
      </c>
      <c r="H19" s="43" t="s">
        <v>61</v>
      </c>
      <c r="I19" s="43" t="s">
        <v>62</v>
      </c>
      <c r="J19" s="43" t="s">
        <v>63</v>
      </c>
    </row>
    <row r="20" ht="14.25" customHeight="1">
      <c r="A20" s="43" t="s">
        <v>80</v>
      </c>
      <c r="B20" s="43" t="s">
        <v>81</v>
      </c>
      <c r="C20" s="43" t="s">
        <v>54</v>
      </c>
      <c r="D20" s="43" t="s">
        <v>111</v>
      </c>
      <c r="E20" s="43" t="s">
        <v>113</v>
      </c>
      <c r="F20" s="43" t="s">
        <v>59</v>
      </c>
      <c r="G20" s="43" t="s">
        <v>60</v>
      </c>
      <c r="H20" s="43" t="s">
        <v>61</v>
      </c>
      <c r="I20" s="43" t="s">
        <v>62</v>
      </c>
      <c r="J20" s="43" t="s">
        <v>63</v>
      </c>
    </row>
    <row r="21" ht="14.25" customHeight="1">
      <c r="A21" s="43" t="s">
        <v>84</v>
      </c>
      <c r="B21" s="43" t="s">
        <v>85</v>
      </c>
      <c r="C21" s="43" t="s">
        <v>54</v>
      </c>
      <c r="D21" s="43" t="s">
        <v>116</v>
      </c>
      <c r="E21" s="43" t="s">
        <v>117</v>
      </c>
      <c r="F21" s="43" t="s">
        <v>59</v>
      </c>
      <c r="G21" s="43" t="s">
        <v>60</v>
      </c>
      <c r="H21" s="43" t="s">
        <v>61</v>
      </c>
      <c r="I21" s="43" t="s">
        <v>62</v>
      </c>
      <c r="J21" s="43" t="s">
        <v>63</v>
      </c>
    </row>
    <row r="22" ht="14.25" customHeight="1">
      <c r="A22" s="43" t="s">
        <v>88</v>
      </c>
      <c r="B22" s="43" t="s">
        <v>89</v>
      </c>
      <c r="C22" s="43" t="s">
        <v>54</v>
      </c>
      <c r="D22" s="43" t="s">
        <v>121</v>
      </c>
      <c r="E22" s="43" t="s">
        <v>122</v>
      </c>
      <c r="F22" s="43" t="s">
        <v>59</v>
      </c>
      <c r="G22" s="43" t="s">
        <v>60</v>
      </c>
      <c r="H22" s="43" t="s">
        <v>61</v>
      </c>
      <c r="I22" s="43" t="s">
        <v>62</v>
      </c>
      <c r="J22" s="43" t="s">
        <v>63</v>
      </c>
    </row>
    <row r="23" ht="14.25" customHeight="1">
      <c r="A23" s="43" t="s">
        <v>92</v>
      </c>
      <c r="B23" s="43" t="s">
        <v>93</v>
      </c>
      <c r="C23" s="43" t="s">
        <v>54</v>
      </c>
      <c r="D23" s="43" t="s">
        <v>126</v>
      </c>
      <c r="E23" s="43" t="s">
        <v>128</v>
      </c>
      <c r="F23" s="43" t="s">
        <v>59</v>
      </c>
      <c r="G23" s="43" t="s">
        <v>60</v>
      </c>
      <c r="H23" s="43" t="s">
        <v>61</v>
      </c>
      <c r="I23" s="43" t="s">
        <v>62</v>
      </c>
      <c r="J23" s="43" t="s">
        <v>63</v>
      </c>
    </row>
    <row r="24" ht="14.25" customHeight="1">
      <c r="A24" s="43" t="s">
        <v>96</v>
      </c>
      <c r="B24" s="43" t="s">
        <v>98</v>
      </c>
      <c r="C24" s="43" t="s">
        <v>54</v>
      </c>
      <c r="D24" s="43" t="s">
        <v>131</v>
      </c>
      <c r="E24" s="43" t="s">
        <v>132</v>
      </c>
      <c r="F24" s="43" t="s">
        <v>59</v>
      </c>
      <c r="G24" s="43" t="s">
        <v>60</v>
      </c>
      <c r="H24" s="43" t="s">
        <v>61</v>
      </c>
      <c r="I24" s="43" t="s">
        <v>62</v>
      </c>
      <c r="J24" s="43" t="s">
        <v>63</v>
      </c>
    </row>
    <row r="25" ht="14.25" customHeight="1">
      <c r="A25" s="43" t="s">
        <v>99</v>
      </c>
      <c r="B25" s="43" t="s">
        <v>100</v>
      </c>
      <c r="C25" s="43" t="s">
        <v>54</v>
      </c>
      <c r="D25" s="43" t="s">
        <v>135</v>
      </c>
      <c r="E25" s="43" t="s">
        <v>136</v>
      </c>
      <c r="F25" s="43" t="s">
        <v>59</v>
      </c>
      <c r="G25" s="43" t="s">
        <v>60</v>
      </c>
      <c r="H25" s="43" t="s">
        <v>61</v>
      </c>
      <c r="I25" s="43" t="s">
        <v>62</v>
      </c>
      <c r="J25" s="43" t="s">
        <v>63</v>
      </c>
    </row>
    <row r="26" ht="14.25" customHeight="1">
      <c r="A26" s="43" t="s">
        <v>103</v>
      </c>
      <c r="B26" s="43" t="s">
        <v>104</v>
      </c>
      <c r="C26" s="43" t="s">
        <v>54</v>
      </c>
      <c r="D26" s="43" t="s">
        <v>138</v>
      </c>
      <c r="E26" s="43" t="s">
        <v>140</v>
      </c>
      <c r="F26" s="43" t="s">
        <v>59</v>
      </c>
      <c r="G26" s="43" t="s">
        <v>60</v>
      </c>
      <c r="H26" s="43" t="s">
        <v>61</v>
      </c>
      <c r="I26" s="43" t="s">
        <v>62</v>
      </c>
      <c r="J26" s="43" t="s">
        <v>63</v>
      </c>
    </row>
    <row r="27" ht="14.25" customHeight="1">
      <c r="A27" s="43" t="s">
        <v>120</v>
      </c>
      <c r="B27" s="43" t="s">
        <v>109</v>
      </c>
      <c r="C27" s="43" t="s">
        <v>143</v>
      </c>
      <c r="D27" s="43" t="s">
        <v>144</v>
      </c>
      <c r="E27" s="43" t="s">
        <v>145</v>
      </c>
      <c r="F27" s="43" t="s">
        <v>59</v>
      </c>
      <c r="G27" s="43" t="s">
        <v>60</v>
      </c>
      <c r="H27" s="43" t="s">
        <v>61</v>
      </c>
      <c r="I27" s="43" t="s">
        <v>62</v>
      </c>
      <c r="J27" s="43" t="s">
        <v>63</v>
      </c>
    </row>
    <row r="28" ht="14.25" customHeight="1">
      <c r="A28" s="43" t="s">
        <v>110</v>
      </c>
      <c r="B28" s="43" t="s">
        <v>112</v>
      </c>
      <c r="C28" s="43" t="s">
        <v>54</v>
      </c>
      <c r="D28" s="43" t="s">
        <v>148</v>
      </c>
      <c r="E28" s="43" t="s">
        <v>149</v>
      </c>
      <c r="F28" s="43" t="s">
        <v>59</v>
      </c>
      <c r="G28" s="43" t="s">
        <v>60</v>
      </c>
      <c r="H28" s="43" t="s">
        <v>61</v>
      </c>
      <c r="I28" s="43" t="s">
        <v>62</v>
      </c>
      <c r="J28" s="43" t="s">
        <v>63</v>
      </c>
    </row>
    <row r="29" ht="14.25" customHeight="1">
      <c r="A29" s="43" t="s">
        <v>114</v>
      </c>
      <c r="B29" s="43" t="s">
        <v>115</v>
      </c>
      <c r="C29" s="43" t="s">
        <v>54</v>
      </c>
      <c r="D29" s="43" t="s">
        <v>154</v>
      </c>
      <c r="E29" s="43" t="s">
        <v>155</v>
      </c>
      <c r="F29" s="43" t="s">
        <v>59</v>
      </c>
      <c r="G29" s="43" t="s">
        <v>60</v>
      </c>
      <c r="H29" s="43" t="s">
        <v>61</v>
      </c>
      <c r="I29" s="43" t="s">
        <v>62</v>
      </c>
      <c r="J29" s="43" t="s">
        <v>63</v>
      </c>
    </row>
    <row r="30" ht="14.25" customHeight="1">
      <c r="A30" s="43" t="s">
        <v>118</v>
      </c>
      <c r="B30" s="43" t="s">
        <v>119</v>
      </c>
      <c r="C30" s="43" t="s">
        <v>54</v>
      </c>
      <c r="D30" s="43" t="s">
        <v>158</v>
      </c>
      <c r="E30" s="43" t="s">
        <v>159</v>
      </c>
      <c r="F30" s="43" t="s">
        <v>59</v>
      </c>
      <c r="G30" s="43" t="s">
        <v>60</v>
      </c>
      <c r="H30" s="43" t="s">
        <v>61</v>
      </c>
      <c r="I30" s="43" t="s">
        <v>62</v>
      </c>
      <c r="J30" s="43" t="s">
        <v>63</v>
      </c>
    </row>
    <row r="31" ht="14.25" customHeight="1">
      <c r="A31" s="43" t="s">
        <v>123</v>
      </c>
      <c r="B31" s="43" t="s">
        <v>124</v>
      </c>
      <c r="C31" s="43" t="s">
        <v>54</v>
      </c>
      <c r="D31" s="43" t="s">
        <v>162</v>
      </c>
      <c r="E31" s="43" t="s">
        <v>164</v>
      </c>
      <c r="F31" s="43" t="s">
        <v>59</v>
      </c>
      <c r="G31" s="43" t="s">
        <v>60</v>
      </c>
      <c r="H31" s="43" t="s">
        <v>61</v>
      </c>
      <c r="I31" s="43" t="s">
        <v>62</v>
      </c>
      <c r="J31" s="43" t="s">
        <v>63</v>
      </c>
    </row>
    <row r="32" ht="14.25" customHeight="1">
      <c r="A32" s="43" t="s">
        <v>125</v>
      </c>
      <c r="B32" s="43" t="s">
        <v>127</v>
      </c>
      <c r="C32" s="43" t="s">
        <v>54</v>
      </c>
      <c r="D32" s="43" t="s">
        <v>168</v>
      </c>
      <c r="E32" s="43" t="s">
        <v>169</v>
      </c>
      <c r="F32" s="43" t="s">
        <v>59</v>
      </c>
      <c r="G32" s="43" t="s">
        <v>60</v>
      </c>
      <c r="H32" s="43" t="s">
        <v>61</v>
      </c>
      <c r="I32" s="43" t="s">
        <v>62</v>
      </c>
      <c r="J32" s="43" t="s">
        <v>63</v>
      </c>
    </row>
    <row r="33" ht="14.25" customHeight="1">
      <c r="A33" s="43" t="s">
        <v>129</v>
      </c>
      <c r="B33" s="43" t="s">
        <v>130</v>
      </c>
      <c r="C33" s="43" t="s">
        <v>54</v>
      </c>
      <c r="D33" s="43" t="s">
        <v>172</v>
      </c>
      <c r="E33" s="43" t="s">
        <v>173</v>
      </c>
      <c r="F33" s="43" t="s">
        <v>59</v>
      </c>
      <c r="G33" s="43" t="s">
        <v>60</v>
      </c>
      <c r="H33" s="43" t="s">
        <v>61</v>
      </c>
      <c r="I33" s="43" t="s">
        <v>62</v>
      </c>
      <c r="J33" s="43" t="s">
        <v>63</v>
      </c>
    </row>
    <row r="34" ht="14.25" customHeight="1">
      <c r="A34" s="43" t="s">
        <v>133</v>
      </c>
      <c r="B34" s="43" t="s">
        <v>134</v>
      </c>
      <c r="C34" s="43" t="s">
        <v>94</v>
      </c>
      <c r="D34" s="43" t="s">
        <v>177</v>
      </c>
      <c r="E34" s="43" t="s">
        <v>179</v>
      </c>
      <c r="F34" s="43" t="s">
        <v>59</v>
      </c>
      <c r="G34" s="43" t="s">
        <v>60</v>
      </c>
      <c r="H34" s="43" t="s">
        <v>61</v>
      </c>
      <c r="I34" s="43" t="s">
        <v>62</v>
      </c>
      <c r="J34" s="43" t="s">
        <v>63</v>
      </c>
    </row>
    <row r="35" ht="14.25" customHeight="1">
      <c r="A35" s="43" t="s">
        <v>137</v>
      </c>
      <c r="B35" s="43" t="s">
        <v>139</v>
      </c>
      <c r="C35" s="43" t="s">
        <v>182</v>
      </c>
      <c r="D35" s="43" t="s">
        <v>183</v>
      </c>
      <c r="E35" s="43" t="s">
        <v>184</v>
      </c>
      <c r="F35" s="43" t="s">
        <v>59</v>
      </c>
      <c r="G35" s="43" t="s">
        <v>60</v>
      </c>
      <c r="H35" s="43" t="s">
        <v>61</v>
      </c>
      <c r="I35" s="43" t="s">
        <v>62</v>
      </c>
      <c r="J35" s="43" t="s">
        <v>63</v>
      </c>
    </row>
    <row r="36" ht="14.25" customHeight="1">
      <c r="A36" s="43" t="s">
        <v>141</v>
      </c>
      <c r="B36" s="43" t="s">
        <v>142</v>
      </c>
      <c r="C36" s="43" t="s">
        <v>94</v>
      </c>
      <c r="D36" s="43" t="s">
        <v>185</v>
      </c>
      <c r="E36" s="43" t="s">
        <v>186</v>
      </c>
      <c r="F36" s="43" t="s">
        <v>59</v>
      </c>
      <c r="G36" s="43" t="s">
        <v>60</v>
      </c>
      <c r="H36" s="43" t="s">
        <v>61</v>
      </c>
      <c r="I36" s="43" t="s">
        <v>62</v>
      </c>
      <c r="J36" s="43" t="s">
        <v>63</v>
      </c>
    </row>
    <row r="37" ht="14.25" customHeight="1">
      <c r="A37" s="43" t="s">
        <v>146</v>
      </c>
      <c r="B37" s="43" t="s">
        <v>147</v>
      </c>
      <c r="C37" s="43" t="s">
        <v>94</v>
      </c>
      <c r="D37" s="43" t="s">
        <v>187</v>
      </c>
      <c r="E37" s="43" t="s">
        <v>188</v>
      </c>
      <c r="F37" s="43" t="s">
        <v>59</v>
      </c>
      <c r="G37" s="43" t="s">
        <v>60</v>
      </c>
      <c r="H37" s="43" t="s">
        <v>61</v>
      </c>
      <c r="I37" s="43" t="s">
        <v>62</v>
      </c>
      <c r="J37" s="43" t="s">
        <v>63</v>
      </c>
    </row>
    <row r="38" ht="14.25" customHeight="1">
      <c r="A38" s="43" t="s">
        <v>150</v>
      </c>
      <c r="B38" s="43" t="s">
        <v>151</v>
      </c>
      <c r="C38" s="43" t="s">
        <v>94</v>
      </c>
      <c r="D38" s="43" t="s">
        <v>189</v>
      </c>
      <c r="E38" s="43" t="s">
        <v>190</v>
      </c>
      <c r="F38" s="43" t="s">
        <v>59</v>
      </c>
      <c r="G38" s="43" t="s">
        <v>60</v>
      </c>
      <c r="H38" s="43" t="s">
        <v>61</v>
      </c>
      <c r="I38" s="43" t="s">
        <v>62</v>
      </c>
      <c r="J38" s="43" t="s">
        <v>63</v>
      </c>
    </row>
    <row r="39" ht="14.25" customHeight="1">
      <c r="A39" s="43" t="s">
        <v>152</v>
      </c>
      <c r="B39" s="43" t="s">
        <v>153</v>
      </c>
      <c r="C39" s="43" t="s">
        <v>54</v>
      </c>
      <c r="D39" s="43" t="s">
        <v>191</v>
      </c>
      <c r="E39" s="43" t="s">
        <v>192</v>
      </c>
      <c r="F39" s="43" t="s">
        <v>59</v>
      </c>
      <c r="G39" s="43" t="s">
        <v>60</v>
      </c>
      <c r="H39" s="43" t="s">
        <v>61</v>
      </c>
      <c r="I39" s="43" t="s">
        <v>62</v>
      </c>
      <c r="J39" s="43" t="s">
        <v>63</v>
      </c>
    </row>
    <row r="40" ht="14.25" customHeight="1">
      <c r="A40" s="43" t="s">
        <v>156</v>
      </c>
      <c r="B40" s="43" t="s">
        <v>157</v>
      </c>
      <c r="C40" s="43" t="s">
        <v>94</v>
      </c>
      <c r="D40" s="43" t="s">
        <v>193</v>
      </c>
      <c r="E40" s="43" t="s">
        <v>194</v>
      </c>
      <c r="F40" s="43" t="s">
        <v>59</v>
      </c>
      <c r="G40" s="43" t="s">
        <v>60</v>
      </c>
      <c r="H40" s="43" t="s">
        <v>61</v>
      </c>
      <c r="I40" s="43" t="s">
        <v>62</v>
      </c>
      <c r="J40" s="43" t="s">
        <v>63</v>
      </c>
    </row>
    <row r="41" ht="14.25" customHeight="1">
      <c r="A41" s="43" t="s">
        <v>160</v>
      </c>
      <c r="B41" s="43" t="s">
        <v>161</v>
      </c>
      <c r="C41" s="43" t="s">
        <v>94</v>
      </c>
      <c r="D41" s="43" t="s">
        <v>195</v>
      </c>
      <c r="E41" s="43" t="s">
        <v>196</v>
      </c>
      <c r="F41" s="43" t="s">
        <v>59</v>
      </c>
      <c r="G41" s="43" t="s">
        <v>60</v>
      </c>
      <c r="H41" s="43" t="s">
        <v>61</v>
      </c>
      <c r="I41" s="43" t="s">
        <v>62</v>
      </c>
      <c r="J41" s="43" t="s">
        <v>63</v>
      </c>
    </row>
    <row r="42" ht="14.25" customHeight="1">
      <c r="A42" s="43" t="s">
        <v>163</v>
      </c>
      <c r="B42" s="43" t="s">
        <v>165</v>
      </c>
      <c r="C42" s="43" t="s">
        <v>94</v>
      </c>
      <c r="D42" s="43" t="s">
        <v>197</v>
      </c>
      <c r="E42" s="43" t="s">
        <v>198</v>
      </c>
      <c r="F42" s="43" t="s">
        <v>59</v>
      </c>
      <c r="G42" s="43" t="s">
        <v>60</v>
      </c>
      <c r="H42" s="43" t="s">
        <v>61</v>
      </c>
      <c r="I42" s="43" t="s">
        <v>62</v>
      </c>
      <c r="J42" s="43" t="s">
        <v>63</v>
      </c>
    </row>
    <row r="43" ht="14.25" customHeight="1">
      <c r="A43" s="43" t="s">
        <v>166</v>
      </c>
      <c r="B43" s="43" t="s">
        <v>167</v>
      </c>
      <c r="C43" s="43" t="s">
        <v>94</v>
      </c>
      <c r="D43" s="43" t="s">
        <v>199</v>
      </c>
      <c r="E43" s="43" t="s">
        <v>200</v>
      </c>
      <c r="F43" s="43" t="s">
        <v>59</v>
      </c>
      <c r="G43" s="43" t="s">
        <v>60</v>
      </c>
      <c r="H43" s="43" t="s">
        <v>61</v>
      </c>
      <c r="I43" s="43" t="s">
        <v>62</v>
      </c>
      <c r="J43" s="43" t="s">
        <v>63</v>
      </c>
    </row>
    <row r="44" ht="14.25" customHeight="1">
      <c r="A44" s="43" t="s">
        <v>170</v>
      </c>
      <c r="B44" s="43" t="s">
        <v>171</v>
      </c>
      <c r="C44" s="43" t="s">
        <v>94</v>
      </c>
      <c r="D44" s="43" t="s">
        <v>201</v>
      </c>
      <c r="E44" s="43" t="s">
        <v>202</v>
      </c>
      <c r="F44" s="43" t="s">
        <v>59</v>
      </c>
      <c r="G44" s="43" t="s">
        <v>60</v>
      </c>
      <c r="H44" s="43" t="s">
        <v>61</v>
      </c>
      <c r="I44" s="43" t="s">
        <v>62</v>
      </c>
      <c r="J44" s="43" t="s">
        <v>63</v>
      </c>
    </row>
    <row r="45" ht="14.25" customHeight="1">
      <c r="A45" s="43" t="s">
        <v>174</v>
      </c>
      <c r="B45" s="43" t="s">
        <v>175</v>
      </c>
      <c r="C45" s="43" t="s">
        <v>54</v>
      </c>
      <c r="D45" s="43" t="s">
        <v>203</v>
      </c>
      <c r="E45" s="43" t="s">
        <v>204</v>
      </c>
      <c r="F45" s="43" t="s">
        <v>59</v>
      </c>
      <c r="G45" s="43" t="s">
        <v>60</v>
      </c>
      <c r="H45" s="43" t="s">
        <v>61</v>
      </c>
      <c r="I45" s="43" t="s">
        <v>62</v>
      </c>
      <c r="J45" s="43" t="s">
        <v>63</v>
      </c>
    </row>
    <row r="46" ht="14.25" customHeight="1">
      <c r="A46" s="43" t="s">
        <v>176</v>
      </c>
      <c r="B46" s="43" t="s">
        <v>178</v>
      </c>
      <c r="C46" s="43" t="s">
        <v>54</v>
      </c>
      <c r="D46" s="43" t="s">
        <v>205</v>
      </c>
      <c r="E46" s="43" t="s">
        <v>206</v>
      </c>
      <c r="F46" s="43" t="s">
        <v>59</v>
      </c>
      <c r="G46" s="43" t="s">
        <v>60</v>
      </c>
      <c r="H46" s="43" t="s">
        <v>61</v>
      </c>
      <c r="I46" s="43" t="s">
        <v>62</v>
      </c>
      <c r="J46" s="43" t="s">
        <v>63</v>
      </c>
    </row>
    <row r="47" ht="14.25" customHeight="1">
      <c r="A47" s="43" t="s">
        <v>180</v>
      </c>
      <c r="B47" s="43" t="s">
        <v>181</v>
      </c>
      <c r="C47" s="43" t="s">
        <v>54</v>
      </c>
      <c r="D47" s="43" t="s">
        <v>207</v>
      </c>
      <c r="E47" s="43" t="s">
        <v>208</v>
      </c>
      <c r="F47" s="43" t="s">
        <v>59</v>
      </c>
      <c r="G47" s="43" t="s">
        <v>60</v>
      </c>
      <c r="H47" s="43" t="s">
        <v>61</v>
      </c>
      <c r="I47" s="43" t="s">
        <v>62</v>
      </c>
      <c r="J47" s="43" t="s">
        <v>63</v>
      </c>
    </row>
    <row r="48" ht="14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J1"/>
    <mergeCell ref="A2:J2"/>
    <mergeCell ref="A3:J3"/>
    <mergeCell ref="A4:J4"/>
    <mergeCell ref="A5:J5"/>
    <mergeCell ref="A6:J6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3" max="3" width="29.43"/>
  </cols>
  <sheetData>
    <row r="2">
      <c r="B2" s="2" t="s">
        <v>0</v>
      </c>
    </row>
    <row r="5">
      <c r="A5" s="4" t="s">
        <v>3</v>
      </c>
      <c r="B5" s="7" t="s">
        <v>5</v>
      </c>
      <c r="C5" s="9" t="s">
        <v>6</v>
      </c>
      <c r="D5" s="10" t="s">
        <v>7</v>
      </c>
      <c r="E5" s="10" t="s">
        <v>8</v>
      </c>
      <c r="F5" s="10" t="s">
        <v>10</v>
      </c>
      <c r="G5" s="10" t="s">
        <v>11</v>
      </c>
      <c r="I5" s="13" t="s">
        <v>12</v>
      </c>
      <c r="J5" s="13" t="s">
        <v>18</v>
      </c>
      <c r="K5" s="13" t="s">
        <v>19</v>
      </c>
      <c r="L5" s="13" t="s">
        <v>20</v>
      </c>
      <c r="M5" s="13" t="s">
        <v>21</v>
      </c>
    </row>
    <row r="6">
      <c r="A6" s="17">
        <v>1.0</v>
      </c>
      <c r="B6" s="18" t="s">
        <v>29</v>
      </c>
      <c r="C6" s="19" t="s">
        <v>30</v>
      </c>
      <c r="D6" s="20">
        <v>17.0</v>
      </c>
      <c r="E6" s="22">
        <v>17.0</v>
      </c>
      <c r="F6" s="25">
        <v>14.0</v>
      </c>
      <c r="G6" s="25">
        <v>3.0</v>
      </c>
      <c r="I6" s="29">
        <f t="shared" ref="I6:J6" si="1">D6*(15/20)</f>
        <v>12.75</v>
      </c>
      <c r="J6" s="29">
        <f t="shared" si="1"/>
        <v>12.75</v>
      </c>
      <c r="K6" s="29">
        <f t="shared" ref="K6:K45" si="3">F6</f>
        <v>14</v>
      </c>
      <c r="L6" s="29">
        <f t="shared" ref="L6:L45" si="4">G6*(15/20)</f>
        <v>2.25</v>
      </c>
      <c r="M6" s="33">
        <f t="shared" ref="M6:M45" si="5">(LARGE(I6:L6,1)+LARGE(I6:L6,2)+LARGE(I6:L6,3))/3</f>
        <v>13.16666667</v>
      </c>
    </row>
    <row r="7">
      <c r="A7" s="30">
        <f t="shared" ref="A7:A45" si="6">A6+1</f>
        <v>2</v>
      </c>
      <c r="B7" s="19" t="s">
        <v>34</v>
      </c>
      <c r="C7" s="19" t="s">
        <v>35</v>
      </c>
      <c r="D7" s="36">
        <v>6.0</v>
      </c>
      <c r="E7" s="37">
        <v>14.0</v>
      </c>
      <c r="F7" s="39">
        <v>11.0</v>
      </c>
      <c r="G7" s="39">
        <v>13.0</v>
      </c>
      <c r="I7" s="29">
        <f t="shared" ref="I7:J7" si="2">D7*(15/20)</f>
        <v>4.5</v>
      </c>
      <c r="J7" s="29">
        <f t="shared" si="2"/>
        <v>10.5</v>
      </c>
      <c r="K7" s="29">
        <f t="shared" si="3"/>
        <v>11</v>
      </c>
      <c r="L7" s="29">
        <f t="shared" si="4"/>
        <v>9.75</v>
      </c>
      <c r="M7" s="33">
        <f t="shared" si="5"/>
        <v>10.41666667</v>
      </c>
    </row>
    <row r="8">
      <c r="A8" s="30">
        <f t="shared" si="6"/>
        <v>3</v>
      </c>
      <c r="B8" s="19" t="s">
        <v>36</v>
      </c>
      <c r="C8" s="19" t="s">
        <v>37</v>
      </c>
      <c r="D8" s="42"/>
      <c r="E8" s="44"/>
      <c r="F8" s="45">
        <v>5.0</v>
      </c>
      <c r="G8" s="39">
        <v>7.0</v>
      </c>
      <c r="I8" s="29">
        <f t="shared" ref="I8:J8" si="7">D8*(15/20)</f>
        <v>0</v>
      </c>
      <c r="J8" s="29">
        <f t="shared" si="7"/>
        <v>0</v>
      </c>
      <c r="K8" s="29">
        <f t="shared" si="3"/>
        <v>5</v>
      </c>
      <c r="L8" s="29">
        <f t="shared" si="4"/>
        <v>5.25</v>
      </c>
      <c r="M8" s="33">
        <f t="shared" si="5"/>
        <v>3.416666667</v>
      </c>
    </row>
    <row r="9">
      <c r="A9" s="30">
        <f t="shared" si="6"/>
        <v>4</v>
      </c>
      <c r="B9" s="19" t="s">
        <v>38</v>
      </c>
      <c r="C9" s="19" t="s">
        <v>39</v>
      </c>
      <c r="D9" s="36">
        <v>17.0</v>
      </c>
      <c r="E9" s="47">
        <v>18.0</v>
      </c>
      <c r="F9" s="39">
        <v>14.0</v>
      </c>
      <c r="G9" s="39">
        <v>7.0</v>
      </c>
      <c r="I9" s="29">
        <f t="shared" ref="I9:J9" si="8">D9*(15/20)</f>
        <v>12.75</v>
      </c>
      <c r="J9" s="29">
        <f t="shared" si="8"/>
        <v>13.5</v>
      </c>
      <c r="K9" s="29">
        <f t="shared" si="3"/>
        <v>14</v>
      </c>
      <c r="L9" s="29">
        <f t="shared" si="4"/>
        <v>5.25</v>
      </c>
      <c r="M9" s="33">
        <f t="shared" si="5"/>
        <v>13.41666667</v>
      </c>
    </row>
    <row r="10">
      <c r="A10" s="30">
        <f t="shared" si="6"/>
        <v>5</v>
      </c>
      <c r="B10" s="19" t="s">
        <v>41</v>
      </c>
      <c r="C10" s="19" t="s">
        <v>42</v>
      </c>
      <c r="D10" s="42"/>
      <c r="E10" s="37">
        <v>14.0</v>
      </c>
      <c r="F10" s="39">
        <v>12.0</v>
      </c>
      <c r="G10" s="39">
        <v>15.0</v>
      </c>
      <c r="I10" s="29">
        <f t="shared" ref="I10:J10" si="9">D10*(15/20)</f>
        <v>0</v>
      </c>
      <c r="J10" s="29">
        <f t="shared" si="9"/>
        <v>10.5</v>
      </c>
      <c r="K10" s="29">
        <f t="shared" si="3"/>
        <v>12</v>
      </c>
      <c r="L10" s="29">
        <f t="shared" si="4"/>
        <v>11.25</v>
      </c>
      <c r="M10" s="33">
        <f t="shared" si="5"/>
        <v>11.25</v>
      </c>
    </row>
    <row r="11">
      <c r="A11" s="30">
        <f t="shared" si="6"/>
        <v>6</v>
      </c>
      <c r="B11" s="19" t="s">
        <v>49</v>
      </c>
      <c r="C11" s="19" t="s">
        <v>51</v>
      </c>
      <c r="D11" s="49">
        <v>18.0</v>
      </c>
      <c r="E11" s="47">
        <v>13.0</v>
      </c>
      <c r="F11" s="39">
        <v>13.0</v>
      </c>
      <c r="G11" s="39">
        <v>7.0</v>
      </c>
      <c r="I11" s="29">
        <f t="shared" ref="I11:J11" si="10">D11*(15/20)</f>
        <v>13.5</v>
      </c>
      <c r="J11" s="29">
        <f t="shared" si="10"/>
        <v>9.75</v>
      </c>
      <c r="K11" s="29">
        <f t="shared" si="3"/>
        <v>13</v>
      </c>
      <c r="L11" s="29">
        <f t="shared" si="4"/>
        <v>5.25</v>
      </c>
      <c r="M11" s="33">
        <f t="shared" si="5"/>
        <v>12.08333333</v>
      </c>
    </row>
    <row r="12">
      <c r="A12" s="30">
        <f t="shared" si="6"/>
        <v>7</v>
      </c>
      <c r="B12" s="19" t="s">
        <v>52</v>
      </c>
      <c r="C12" s="19" t="s">
        <v>53</v>
      </c>
      <c r="D12" s="36">
        <v>14.0</v>
      </c>
      <c r="E12" s="47">
        <v>13.0</v>
      </c>
      <c r="F12" s="45">
        <v>10.0</v>
      </c>
      <c r="G12" s="39">
        <v>2.0</v>
      </c>
      <c r="I12" s="29">
        <f t="shared" ref="I12:J12" si="11">D12*(15/20)</f>
        <v>10.5</v>
      </c>
      <c r="J12" s="29">
        <f t="shared" si="11"/>
        <v>9.75</v>
      </c>
      <c r="K12" s="29">
        <f t="shared" si="3"/>
        <v>10</v>
      </c>
      <c r="L12" s="29">
        <f t="shared" si="4"/>
        <v>1.5</v>
      </c>
      <c r="M12" s="33">
        <f t="shared" si="5"/>
        <v>10.08333333</v>
      </c>
    </row>
    <row r="13">
      <c r="A13" s="30">
        <f t="shared" si="6"/>
        <v>8</v>
      </c>
      <c r="B13" s="19" t="s">
        <v>55</v>
      </c>
      <c r="C13" s="19" t="s">
        <v>56</v>
      </c>
      <c r="D13" s="36">
        <v>12.0</v>
      </c>
      <c r="E13" s="47">
        <v>10.0</v>
      </c>
      <c r="F13" s="39">
        <v>12.0</v>
      </c>
      <c r="G13" s="39">
        <v>8.0</v>
      </c>
      <c r="I13" s="29">
        <f t="shared" ref="I13:J13" si="12">D13*(15/20)</f>
        <v>9</v>
      </c>
      <c r="J13" s="29">
        <f t="shared" si="12"/>
        <v>7.5</v>
      </c>
      <c r="K13" s="29">
        <f t="shared" si="3"/>
        <v>12</v>
      </c>
      <c r="L13" s="29">
        <f t="shared" si="4"/>
        <v>6</v>
      </c>
      <c r="M13" s="33">
        <f t="shared" si="5"/>
        <v>9.5</v>
      </c>
    </row>
    <row r="14">
      <c r="A14" s="30">
        <f t="shared" si="6"/>
        <v>9</v>
      </c>
      <c r="B14" s="19" t="s">
        <v>64</v>
      </c>
      <c r="C14" s="19" t="s">
        <v>65</v>
      </c>
      <c r="D14" s="36">
        <v>6.0</v>
      </c>
      <c r="E14" s="47">
        <v>17.0</v>
      </c>
      <c r="F14" s="39">
        <v>14.0</v>
      </c>
      <c r="G14" s="39">
        <v>19.0</v>
      </c>
      <c r="I14" s="29">
        <f t="shared" ref="I14:J14" si="13">D14*(15/20)</f>
        <v>4.5</v>
      </c>
      <c r="J14" s="29">
        <f t="shared" si="13"/>
        <v>12.75</v>
      </c>
      <c r="K14" s="29">
        <f t="shared" si="3"/>
        <v>14</v>
      </c>
      <c r="L14" s="29">
        <f t="shared" si="4"/>
        <v>14.25</v>
      </c>
      <c r="M14" s="33">
        <f t="shared" si="5"/>
        <v>13.66666667</v>
      </c>
    </row>
    <row r="15">
      <c r="A15" s="30">
        <f t="shared" si="6"/>
        <v>10</v>
      </c>
      <c r="B15" s="19" t="s">
        <v>66</v>
      </c>
      <c r="C15" s="19" t="s">
        <v>67</v>
      </c>
      <c r="D15" s="36">
        <v>18.0</v>
      </c>
      <c r="E15" s="47">
        <v>18.0</v>
      </c>
      <c r="F15" s="39">
        <v>13.0</v>
      </c>
      <c r="G15" s="39">
        <v>9.0</v>
      </c>
      <c r="I15" s="29">
        <f t="shared" ref="I15:J15" si="14">D15*(15/20)</f>
        <v>13.5</v>
      </c>
      <c r="J15" s="29">
        <f t="shared" si="14"/>
        <v>13.5</v>
      </c>
      <c r="K15" s="29">
        <f t="shared" si="3"/>
        <v>13</v>
      </c>
      <c r="L15" s="29">
        <f t="shared" si="4"/>
        <v>6.75</v>
      </c>
      <c r="M15" s="33">
        <f t="shared" si="5"/>
        <v>13.33333333</v>
      </c>
    </row>
    <row r="16">
      <c r="A16" s="30">
        <f t="shared" si="6"/>
        <v>11</v>
      </c>
      <c r="B16" s="19" t="s">
        <v>70</v>
      </c>
      <c r="C16" s="19" t="s">
        <v>71</v>
      </c>
      <c r="D16" s="36">
        <v>4.0</v>
      </c>
      <c r="E16" s="44"/>
      <c r="F16" s="51"/>
      <c r="G16" s="51"/>
      <c r="I16" s="29">
        <f t="shared" ref="I16:J16" si="15">D16*(15/20)</f>
        <v>3</v>
      </c>
      <c r="J16" s="29">
        <f t="shared" si="15"/>
        <v>0</v>
      </c>
      <c r="K16" s="29" t="str">
        <f t="shared" si="3"/>
        <v/>
      </c>
      <c r="L16" s="29">
        <f t="shared" si="4"/>
        <v>0</v>
      </c>
      <c r="M16" s="33">
        <f t="shared" si="5"/>
        <v>1</v>
      </c>
    </row>
    <row r="17">
      <c r="A17" s="30">
        <f t="shared" si="6"/>
        <v>12</v>
      </c>
      <c r="B17" s="19" t="s">
        <v>76</v>
      </c>
      <c r="C17" s="19" t="s">
        <v>77</v>
      </c>
      <c r="D17" s="36">
        <v>12.0</v>
      </c>
      <c r="E17" s="47">
        <v>13.0</v>
      </c>
      <c r="F17" s="39">
        <v>14.0</v>
      </c>
      <c r="G17" s="39">
        <v>7.0</v>
      </c>
      <c r="I17" s="29">
        <f t="shared" ref="I17:J17" si="16">D17*(15/20)</f>
        <v>9</v>
      </c>
      <c r="J17" s="29">
        <f t="shared" si="16"/>
        <v>9.75</v>
      </c>
      <c r="K17" s="29">
        <f t="shared" si="3"/>
        <v>14</v>
      </c>
      <c r="L17" s="29">
        <f t="shared" si="4"/>
        <v>5.25</v>
      </c>
      <c r="M17" s="33">
        <f t="shared" si="5"/>
        <v>10.91666667</v>
      </c>
    </row>
    <row r="18">
      <c r="A18" s="30">
        <f t="shared" si="6"/>
        <v>13</v>
      </c>
      <c r="B18" s="19" t="s">
        <v>80</v>
      </c>
      <c r="C18" s="19" t="s">
        <v>81</v>
      </c>
      <c r="D18" s="36">
        <v>8.0</v>
      </c>
      <c r="E18" s="47">
        <v>13.0</v>
      </c>
      <c r="F18" s="45">
        <v>14.0</v>
      </c>
      <c r="G18" s="39">
        <v>17.0</v>
      </c>
      <c r="I18" s="29">
        <f t="shared" ref="I18:J18" si="17">D18*(15/20)</f>
        <v>6</v>
      </c>
      <c r="J18" s="29">
        <f t="shared" si="17"/>
        <v>9.75</v>
      </c>
      <c r="K18" s="29">
        <f t="shared" si="3"/>
        <v>14</v>
      </c>
      <c r="L18" s="29">
        <f t="shared" si="4"/>
        <v>12.75</v>
      </c>
      <c r="M18" s="33">
        <f t="shared" si="5"/>
        <v>12.16666667</v>
      </c>
    </row>
    <row r="19">
      <c r="A19" s="30">
        <f t="shared" si="6"/>
        <v>14</v>
      </c>
      <c r="B19" s="19" t="s">
        <v>84</v>
      </c>
      <c r="C19" s="19" t="s">
        <v>85</v>
      </c>
      <c r="D19" s="49">
        <v>15.0</v>
      </c>
      <c r="E19" s="47">
        <v>14.0</v>
      </c>
      <c r="F19" s="39">
        <v>8.0</v>
      </c>
      <c r="G19" s="39">
        <v>13.0</v>
      </c>
      <c r="I19" s="29">
        <f t="shared" ref="I19:J19" si="18">D19*(15/20)</f>
        <v>11.25</v>
      </c>
      <c r="J19" s="29">
        <f t="shared" si="18"/>
        <v>10.5</v>
      </c>
      <c r="K19" s="29">
        <f t="shared" si="3"/>
        <v>8</v>
      </c>
      <c r="L19" s="29">
        <f t="shared" si="4"/>
        <v>9.75</v>
      </c>
      <c r="M19" s="33">
        <f t="shared" si="5"/>
        <v>10.5</v>
      </c>
    </row>
    <row r="20">
      <c r="A20" s="30">
        <f t="shared" si="6"/>
        <v>15</v>
      </c>
      <c r="B20" s="19" t="s">
        <v>88</v>
      </c>
      <c r="C20" s="19" t="s">
        <v>89</v>
      </c>
      <c r="D20" s="36">
        <v>14.0</v>
      </c>
      <c r="E20" s="47">
        <v>10.0</v>
      </c>
      <c r="F20" s="39">
        <v>13.0</v>
      </c>
      <c r="G20" s="51"/>
      <c r="I20" s="29">
        <f t="shared" ref="I20:J20" si="19">D20*(15/20)</f>
        <v>10.5</v>
      </c>
      <c r="J20" s="29">
        <f t="shared" si="19"/>
        <v>7.5</v>
      </c>
      <c r="K20" s="29">
        <f t="shared" si="3"/>
        <v>13</v>
      </c>
      <c r="L20" s="29">
        <f t="shared" si="4"/>
        <v>0</v>
      </c>
      <c r="M20" s="33">
        <f t="shared" si="5"/>
        <v>10.33333333</v>
      </c>
    </row>
    <row r="21">
      <c r="A21" s="30">
        <f t="shared" si="6"/>
        <v>16</v>
      </c>
      <c r="B21" s="19" t="s">
        <v>92</v>
      </c>
      <c r="C21" s="19" t="s">
        <v>93</v>
      </c>
      <c r="D21" s="36">
        <v>11.0</v>
      </c>
      <c r="E21" s="37">
        <v>16.0</v>
      </c>
      <c r="F21" s="39">
        <v>5.0</v>
      </c>
      <c r="G21" s="39">
        <v>15.0</v>
      </c>
      <c r="I21" s="29">
        <f t="shared" ref="I21:J21" si="20">D21*(15/20)</f>
        <v>8.25</v>
      </c>
      <c r="J21" s="29">
        <f t="shared" si="20"/>
        <v>12</v>
      </c>
      <c r="K21" s="29">
        <f t="shared" si="3"/>
        <v>5</v>
      </c>
      <c r="L21" s="29">
        <f t="shared" si="4"/>
        <v>11.25</v>
      </c>
      <c r="M21" s="33">
        <f t="shared" si="5"/>
        <v>10.5</v>
      </c>
    </row>
    <row r="22">
      <c r="A22" s="30">
        <f t="shared" si="6"/>
        <v>17</v>
      </c>
      <c r="B22" s="19" t="s">
        <v>96</v>
      </c>
      <c r="C22" s="19" t="s">
        <v>98</v>
      </c>
      <c r="D22" s="36">
        <v>15.0</v>
      </c>
      <c r="E22" s="47">
        <v>13.0</v>
      </c>
      <c r="F22" s="51"/>
      <c r="G22" s="39">
        <v>12.0</v>
      </c>
      <c r="I22" s="29">
        <f t="shared" ref="I22:J22" si="21">D22*(15/20)</f>
        <v>11.25</v>
      </c>
      <c r="J22" s="29">
        <f t="shared" si="21"/>
        <v>9.75</v>
      </c>
      <c r="K22" s="29" t="str">
        <f t="shared" si="3"/>
        <v/>
      </c>
      <c r="L22" s="29">
        <f t="shared" si="4"/>
        <v>9</v>
      </c>
      <c r="M22" s="33">
        <f t="shared" si="5"/>
        <v>10</v>
      </c>
    </row>
    <row r="23">
      <c r="A23" s="30">
        <f t="shared" si="6"/>
        <v>18</v>
      </c>
      <c r="B23" s="19" t="s">
        <v>99</v>
      </c>
      <c r="C23" s="19" t="s">
        <v>100</v>
      </c>
      <c r="D23" s="36">
        <v>6.0</v>
      </c>
      <c r="E23" s="44"/>
      <c r="F23" s="51"/>
      <c r="G23" s="51"/>
      <c r="I23" s="29">
        <f t="shared" ref="I23:J23" si="22">D23*(15/20)</f>
        <v>4.5</v>
      </c>
      <c r="J23" s="29">
        <f t="shared" si="22"/>
        <v>0</v>
      </c>
      <c r="K23" s="29" t="str">
        <f t="shared" si="3"/>
        <v/>
      </c>
      <c r="L23" s="29">
        <f t="shared" si="4"/>
        <v>0</v>
      </c>
      <c r="M23" s="33">
        <f t="shared" si="5"/>
        <v>1.5</v>
      </c>
    </row>
    <row r="24">
      <c r="A24" s="30">
        <f t="shared" si="6"/>
        <v>19</v>
      </c>
      <c r="B24" s="19" t="s">
        <v>103</v>
      </c>
      <c r="C24" s="19" t="s">
        <v>104</v>
      </c>
      <c r="D24" s="36">
        <v>19.0</v>
      </c>
      <c r="E24" s="47">
        <v>10.0</v>
      </c>
      <c r="F24" s="39">
        <v>14.0</v>
      </c>
      <c r="G24" s="39">
        <v>10.0</v>
      </c>
      <c r="I24" s="29">
        <f t="shared" ref="I24:J24" si="23">D24*(15/20)</f>
        <v>14.25</v>
      </c>
      <c r="J24" s="29">
        <f t="shared" si="23"/>
        <v>7.5</v>
      </c>
      <c r="K24" s="29">
        <f t="shared" si="3"/>
        <v>14</v>
      </c>
      <c r="L24" s="29">
        <f t="shared" si="4"/>
        <v>7.5</v>
      </c>
      <c r="M24" s="33">
        <f t="shared" si="5"/>
        <v>11.91666667</v>
      </c>
    </row>
    <row r="25">
      <c r="A25" s="30">
        <f t="shared" si="6"/>
        <v>20</v>
      </c>
      <c r="B25" s="50">
        <f>B24+1</f>
        <v>24201367</v>
      </c>
      <c r="C25" s="19" t="s">
        <v>109</v>
      </c>
      <c r="D25" s="36">
        <v>16.0</v>
      </c>
      <c r="E25" s="47">
        <v>17.0</v>
      </c>
      <c r="F25" s="39">
        <v>14.0</v>
      </c>
      <c r="G25" s="39">
        <v>12.0</v>
      </c>
      <c r="I25" s="29">
        <f t="shared" ref="I25:J25" si="24">D25*(15/20)</f>
        <v>12</v>
      </c>
      <c r="J25" s="29">
        <f t="shared" si="24"/>
        <v>12.75</v>
      </c>
      <c r="K25" s="29">
        <f t="shared" si="3"/>
        <v>14</v>
      </c>
      <c r="L25" s="29">
        <f t="shared" si="4"/>
        <v>9</v>
      </c>
      <c r="M25" s="33">
        <f t="shared" si="5"/>
        <v>12.91666667</v>
      </c>
    </row>
    <row r="26">
      <c r="A26" s="30">
        <f t="shared" si="6"/>
        <v>21</v>
      </c>
      <c r="B26" s="19" t="s">
        <v>110</v>
      </c>
      <c r="C26" s="19" t="s">
        <v>112</v>
      </c>
      <c r="D26" s="36">
        <v>15.0</v>
      </c>
      <c r="E26" s="47">
        <v>12.0</v>
      </c>
      <c r="F26" s="39">
        <v>13.0</v>
      </c>
      <c r="G26" s="39">
        <v>9.0</v>
      </c>
      <c r="I26" s="29">
        <f t="shared" ref="I26:J26" si="25">D26*(15/20)</f>
        <v>11.25</v>
      </c>
      <c r="J26" s="29">
        <f t="shared" si="25"/>
        <v>9</v>
      </c>
      <c r="K26" s="29">
        <f t="shared" si="3"/>
        <v>13</v>
      </c>
      <c r="L26" s="29">
        <f t="shared" si="4"/>
        <v>6.75</v>
      </c>
      <c r="M26" s="33">
        <f t="shared" si="5"/>
        <v>11.08333333</v>
      </c>
    </row>
    <row r="27">
      <c r="A27" s="30">
        <f t="shared" si="6"/>
        <v>22</v>
      </c>
      <c r="B27" s="19" t="s">
        <v>114</v>
      </c>
      <c r="C27" s="19" t="s">
        <v>115</v>
      </c>
      <c r="D27" s="36">
        <v>18.0</v>
      </c>
      <c r="E27" s="47">
        <v>7.0</v>
      </c>
      <c r="F27" s="39">
        <v>15.0</v>
      </c>
      <c r="G27" s="39">
        <v>9.0</v>
      </c>
      <c r="I27" s="29">
        <f t="shared" ref="I27:J27" si="26">D27*(15/20)</f>
        <v>13.5</v>
      </c>
      <c r="J27" s="29">
        <f t="shared" si="26"/>
        <v>5.25</v>
      </c>
      <c r="K27" s="29">
        <f t="shared" si="3"/>
        <v>15</v>
      </c>
      <c r="L27" s="29">
        <f t="shared" si="4"/>
        <v>6.75</v>
      </c>
      <c r="M27" s="33">
        <f t="shared" si="5"/>
        <v>11.75</v>
      </c>
    </row>
    <row r="28">
      <c r="A28" s="30">
        <f t="shared" si="6"/>
        <v>23</v>
      </c>
      <c r="B28" s="19" t="s">
        <v>118</v>
      </c>
      <c r="C28" s="19" t="s">
        <v>119</v>
      </c>
      <c r="D28" s="36">
        <v>10.0</v>
      </c>
      <c r="E28" s="47">
        <v>10.0</v>
      </c>
      <c r="F28" s="39">
        <v>11.0</v>
      </c>
      <c r="G28" s="51"/>
      <c r="I28" s="29">
        <f t="shared" ref="I28:J28" si="27">D28*(15/20)</f>
        <v>7.5</v>
      </c>
      <c r="J28" s="29">
        <f t="shared" si="27"/>
        <v>7.5</v>
      </c>
      <c r="K28" s="29">
        <f t="shared" si="3"/>
        <v>11</v>
      </c>
      <c r="L28" s="29">
        <f t="shared" si="4"/>
        <v>0</v>
      </c>
      <c r="M28" s="33">
        <f t="shared" si="5"/>
        <v>8.666666667</v>
      </c>
    </row>
    <row r="29">
      <c r="A29" s="30">
        <f t="shared" si="6"/>
        <v>24</v>
      </c>
      <c r="B29" s="19" t="s">
        <v>123</v>
      </c>
      <c r="C29" s="19" t="s">
        <v>124</v>
      </c>
      <c r="D29" s="36">
        <v>19.0</v>
      </c>
      <c r="E29" s="47">
        <v>19.0</v>
      </c>
      <c r="F29" s="39">
        <v>14.0</v>
      </c>
      <c r="G29" s="39">
        <v>16.0</v>
      </c>
      <c r="I29" s="29">
        <f t="shared" ref="I29:J29" si="28">D29*(15/20)</f>
        <v>14.25</v>
      </c>
      <c r="J29" s="29">
        <f t="shared" si="28"/>
        <v>14.25</v>
      </c>
      <c r="K29" s="29">
        <f t="shared" si="3"/>
        <v>14</v>
      </c>
      <c r="L29" s="29">
        <f t="shared" si="4"/>
        <v>12</v>
      </c>
      <c r="M29" s="33">
        <f t="shared" si="5"/>
        <v>14.16666667</v>
      </c>
    </row>
    <row r="30">
      <c r="A30" s="30">
        <f t="shared" si="6"/>
        <v>25</v>
      </c>
      <c r="B30" s="19" t="s">
        <v>125</v>
      </c>
      <c r="C30" s="19" t="s">
        <v>127</v>
      </c>
      <c r="D30" s="36">
        <v>14.0</v>
      </c>
      <c r="E30" s="47">
        <v>1.0</v>
      </c>
      <c r="F30" s="39">
        <v>12.0</v>
      </c>
      <c r="G30" s="39">
        <v>10.0</v>
      </c>
      <c r="I30" s="29">
        <f t="shared" ref="I30:J30" si="29">D30*(15/20)</f>
        <v>10.5</v>
      </c>
      <c r="J30" s="29">
        <f t="shared" si="29"/>
        <v>0.75</v>
      </c>
      <c r="K30" s="29">
        <f t="shared" si="3"/>
        <v>12</v>
      </c>
      <c r="L30" s="29">
        <f t="shared" si="4"/>
        <v>7.5</v>
      </c>
      <c r="M30" s="33">
        <f t="shared" si="5"/>
        <v>10</v>
      </c>
    </row>
    <row r="31">
      <c r="A31" s="30">
        <f t="shared" si="6"/>
        <v>26</v>
      </c>
      <c r="B31" s="19" t="s">
        <v>129</v>
      </c>
      <c r="C31" s="19" t="s">
        <v>130</v>
      </c>
      <c r="D31" s="36">
        <v>18.0</v>
      </c>
      <c r="E31" s="47">
        <v>18.0</v>
      </c>
      <c r="F31" s="39">
        <v>14.0</v>
      </c>
      <c r="G31" s="39">
        <v>12.0</v>
      </c>
      <c r="I31" s="29">
        <f t="shared" ref="I31:J31" si="30">D31*(15/20)</f>
        <v>13.5</v>
      </c>
      <c r="J31" s="29">
        <f t="shared" si="30"/>
        <v>13.5</v>
      </c>
      <c r="K31" s="29">
        <f t="shared" si="3"/>
        <v>14</v>
      </c>
      <c r="L31" s="29">
        <f t="shared" si="4"/>
        <v>9</v>
      </c>
      <c r="M31" s="33">
        <f t="shared" si="5"/>
        <v>13.66666667</v>
      </c>
    </row>
    <row r="32">
      <c r="A32" s="30">
        <f t="shared" si="6"/>
        <v>27</v>
      </c>
      <c r="B32" s="19" t="s">
        <v>133</v>
      </c>
      <c r="C32" s="19" t="s">
        <v>134</v>
      </c>
      <c r="D32" s="36">
        <v>14.0</v>
      </c>
      <c r="E32" s="47">
        <v>1.0</v>
      </c>
      <c r="F32" s="39">
        <v>12.0</v>
      </c>
      <c r="G32" s="39">
        <v>10.0</v>
      </c>
      <c r="I32" s="29">
        <f t="shared" ref="I32:J32" si="31">D32*(15/20)</f>
        <v>10.5</v>
      </c>
      <c r="J32" s="29">
        <f t="shared" si="31"/>
        <v>0.75</v>
      </c>
      <c r="K32" s="29">
        <f t="shared" si="3"/>
        <v>12</v>
      </c>
      <c r="L32" s="29">
        <f t="shared" si="4"/>
        <v>7.5</v>
      </c>
      <c r="M32" s="33">
        <f t="shared" si="5"/>
        <v>10</v>
      </c>
    </row>
    <row r="33">
      <c r="A33" s="30">
        <f t="shared" si="6"/>
        <v>28</v>
      </c>
      <c r="B33" s="19" t="s">
        <v>137</v>
      </c>
      <c r="C33" s="19" t="s">
        <v>139</v>
      </c>
      <c r="D33" s="36">
        <v>5.0</v>
      </c>
      <c r="E33" s="47">
        <v>18.0</v>
      </c>
      <c r="F33" s="39">
        <v>15.0</v>
      </c>
      <c r="G33" s="39">
        <v>18.0</v>
      </c>
      <c r="I33" s="29">
        <f t="shared" ref="I33:J33" si="32">D33*(15/20)</f>
        <v>3.75</v>
      </c>
      <c r="J33" s="29">
        <f t="shared" si="32"/>
        <v>13.5</v>
      </c>
      <c r="K33" s="29">
        <f t="shared" si="3"/>
        <v>15</v>
      </c>
      <c r="L33" s="29">
        <f t="shared" si="4"/>
        <v>13.5</v>
      </c>
      <c r="M33" s="33">
        <f t="shared" si="5"/>
        <v>14</v>
      </c>
    </row>
    <row r="34">
      <c r="A34" s="30">
        <f t="shared" si="6"/>
        <v>29</v>
      </c>
      <c r="B34" s="19" t="s">
        <v>141</v>
      </c>
      <c r="C34" s="19" t="s">
        <v>142</v>
      </c>
      <c r="D34" s="36">
        <v>18.0</v>
      </c>
      <c r="E34" s="37">
        <v>15.0</v>
      </c>
      <c r="F34" s="39">
        <v>11.0</v>
      </c>
      <c r="G34" s="39">
        <v>17.0</v>
      </c>
      <c r="I34" s="29">
        <f t="shared" ref="I34:J34" si="33">D34*(15/20)</f>
        <v>13.5</v>
      </c>
      <c r="J34" s="29">
        <f t="shared" si="33"/>
        <v>11.25</v>
      </c>
      <c r="K34" s="29">
        <f t="shared" si="3"/>
        <v>11</v>
      </c>
      <c r="L34" s="29">
        <f t="shared" si="4"/>
        <v>12.75</v>
      </c>
      <c r="M34" s="33">
        <f t="shared" si="5"/>
        <v>12.5</v>
      </c>
    </row>
    <row r="35">
      <c r="A35" s="30">
        <f t="shared" si="6"/>
        <v>30</v>
      </c>
      <c r="B35" s="19" t="s">
        <v>146</v>
      </c>
      <c r="C35" s="19" t="s">
        <v>147</v>
      </c>
      <c r="D35" s="42"/>
      <c r="E35" s="44"/>
      <c r="F35" s="51"/>
      <c r="G35" s="51"/>
      <c r="I35" s="29">
        <f t="shared" ref="I35:J35" si="34">D35*(15/20)</f>
        <v>0</v>
      </c>
      <c r="J35" s="29">
        <f t="shared" si="34"/>
        <v>0</v>
      </c>
      <c r="K35" s="29" t="str">
        <f t="shared" si="3"/>
        <v/>
      </c>
      <c r="L35" s="29">
        <f t="shared" si="4"/>
        <v>0</v>
      </c>
      <c r="M35" s="33">
        <f t="shared" si="5"/>
        <v>0</v>
      </c>
    </row>
    <row r="36">
      <c r="A36" s="30">
        <f t="shared" si="6"/>
        <v>31</v>
      </c>
      <c r="B36" s="19" t="s">
        <v>150</v>
      </c>
      <c r="C36" s="19" t="s">
        <v>151</v>
      </c>
      <c r="D36" s="36">
        <v>20.0</v>
      </c>
      <c r="E36" s="47">
        <v>20.0</v>
      </c>
      <c r="F36" s="39">
        <v>14.0</v>
      </c>
      <c r="G36" s="39">
        <v>17.0</v>
      </c>
      <c r="I36" s="29">
        <f t="shared" ref="I36:J36" si="35">D36*(15/20)</f>
        <v>15</v>
      </c>
      <c r="J36" s="29">
        <f t="shared" si="35"/>
        <v>15</v>
      </c>
      <c r="K36" s="29">
        <f t="shared" si="3"/>
        <v>14</v>
      </c>
      <c r="L36" s="29">
        <f t="shared" si="4"/>
        <v>12.75</v>
      </c>
      <c r="M36" s="33">
        <f t="shared" si="5"/>
        <v>14.66666667</v>
      </c>
    </row>
    <row r="37">
      <c r="A37" s="30">
        <f t="shared" si="6"/>
        <v>32</v>
      </c>
      <c r="B37" s="19" t="s">
        <v>152</v>
      </c>
      <c r="C37" s="19" t="s">
        <v>153</v>
      </c>
      <c r="D37" s="36">
        <v>12.0</v>
      </c>
      <c r="E37" s="47">
        <v>11.0</v>
      </c>
      <c r="F37" s="39">
        <v>13.0</v>
      </c>
      <c r="G37" s="39">
        <v>8.0</v>
      </c>
      <c r="I37" s="29">
        <f t="shared" ref="I37:J37" si="36">D37*(15/20)</f>
        <v>9</v>
      </c>
      <c r="J37" s="29">
        <f t="shared" si="36"/>
        <v>8.25</v>
      </c>
      <c r="K37" s="29">
        <f t="shared" si="3"/>
        <v>13</v>
      </c>
      <c r="L37" s="29">
        <f t="shared" si="4"/>
        <v>6</v>
      </c>
      <c r="M37" s="33">
        <f t="shared" si="5"/>
        <v>10.08333333</v>
      </c>
    </row>
    <row r="38">
      <c r="A38" s="30">
        <f t="shared" si="6"/>
        <v>33</v>
      </c>
      <c r="B38" s="19" t="s">
        <v>156</v>
      </c>
      <c r="C38" s="19" t="s">
        <v>157</v>
      </c>
      <c r="D38" s="42"/>
      <c r="E38" s="44"/>
      <c r="F38" s="51"/>
      <c r="G38" s="51"/>
      <c r="I38" s="29">
        <f t="shared" ref="I38:J38" si="37">D38*(15/20)</f>
        <v>0</v>
      </c>
      <c r="J38" s="29">
        <f t="shared" si="37"/>
        <v>0</v>
      </c>
      <c r="K38" s="29" t="str">
        <f t="shared" si="3"/>
        <v/>
      </c>
      <c r="L38" s="29">
        <f t="shared" si="4"/>
        <v>0</v>
      </c>
      <c r="M38" s="33">
        <f t="shared" si="5"/>
        <v>0</v>
      </c>
    </row>
    <row r="39">
      <c r="A39" s="30">
        <f t="shared" si="6"/>
        <v>34</v>
      </c>
      <c r="B39" s="19" t="s">
        <v>160</v>
      </c>
      <c r="C39" s="19" t="s">
        <v>161</v>
      </c>
      <c r="D39" s="36">
        <v>11.0</v>
      </c>
      <c r="E39" s="44"/>
      <c r="F39" s="51"/>
      <c r="G39" s="51"/>
      <c r="I39" s="29">
        <f t="shared" ref="I39:J39" si="38">D39*(15/20)</f>
        <v>8.25</v>
      </c>
      <c r="J39" s="29">
        <f t="shared" si="38"/>
        <v>0</v>
      </c>
      <c r="K39" s="29" t="str">
        <f t="shared" si="3"/>
        <v/>
      </c>
      <c r="L39" s="29">
        <f t="shared" si="4"/>
        <v>0</v>
      </c>
      <c r="M39" s="33">
        <f t="shared" si="5"/>
        <v>2.75</v>
      </c>
    </row>
    <row r="40">
      <c r="A40" s="30">
        <f t="shared" si="6"/>
        <v>35</v>
      </c>
      <c r="B40" s="19" t="s">
        <v>163</v>
      </c>
      <c r="C40" s="19" t="s">
        <v>165</v>
      </c>
      <c r="D40" s="36">
        <v>11.0</v>
      </c>
      <c r="E40" s="37">
        <v>14.0</v>
      </c>
      <c r="F40" s="39">
        <v>8.0</v>
      </c>
      <c r="G40" s="39">
        <v>11.0</v>
      </c>
      <c r="I40" s="29">
        <f t="shared" ref="I40:J40" si="39">D40*(15/20)</f>
        <v>8.25</v>
      </c>
      <c r="J40" s="29">
        <f t="shared" si="39"/>
        <v>10.5</v>
      </c>
      <c r="K40" s="29">
        <f t="shared" si="3"/>
        <v>8</v>
      </c>
      <c r="L40" s="29">
        <f t="shared" si="4"/>
        <v>8.25</v>
      </c>
      <c r="M40" s="33">
        <f t="shared" si="5"/>
        <v>9</v>
      </c>
    </row>
    <row r="41">
      <c r="A41" s="30">
        <f t="shared" si="6"/>
        <v>36</v>
      </c>
      <c r="B41" s="19" t="s">
        <v>166</v>
      </c>
      <c r="C41" s="19" t="s">
        <v>167</v>
      </c>
      <c r="D41" s="36">
        <v>14.0</v>
      </c>
      <c r="E41" s="47">
        <v>10.0</v>
      </c>
      <c r="F41" s="39">
        <v>12.0</v>
      </c>
      <c r="G41" s="39">
        <v>13.0</v>
      </c>
      <c r="I41" s="29">
        <f t="shared" ref="I41:J41" si="40">D41*(15/20)</f>
        <v>10.5</v>
      </c>
      <c r="J41" s="29">
        <f t="shared" si="40"/>
        <v>7.5</v>
      </c>
      <c r="K41" s="29">
        <f t="shared" si="3"/>
        <v>12</v>
      </c>
      <c r="L41" s="29">
        <f t="shared" si="4"/>
        <v>9.75</v>
      </c>
      <c r="M41" s="33">
        <f t="shared" si="5"/>
        <v>10.75</v>
      </c>
    </row>
    <row r="42">
      <c r="A42" s="30">
        <f t="shared" si="6"/>
        <v>37</v>
      </c>
      <c r="B42" s="19" t="s">
        <v>170</v>
      </c>
      <c r="C42" s="19" t="s">
        <v>171</v>
      </c>
      <c r="D42" s="36">
        <v>15.0</v>
      </c>
      <c r="E42" s="47">
        <v>8.0</v>
      </c>
      <c r="F42" s="39">
        <v>14.0</v>
      </c>
      <c r="G42" s="39">
        <v>14.0</v>
      </c>
      <c r="I42" s="29">
        <f t="shared" ref="I42:J42" si="41">D42*(15/20)</f>
        <v>11.25</v>
      </c>
      <c r="J42" s="29">
        <f t="shared" si="41"/>
        <v>6</v>
      </c>
      <c r="K42" s="29">
        <f t="shared" si="3"/>
        <v>14</v>
      </c>
      <c r="L42" s="29">
        <f t="shared" si="4"/>
        <v>10.5</v>
      </c>
      <c r="M42" s="33">
        <f t="shared" si="5"/>
        <v>11.91666667</v>
      </c>
    </row>
    <row r="43">
      <c r="A43" s="30">
        <f t="shared" si="6"/>
        <v>38</v>
      </c>
      <c r="B43" s="19" t="s">
        <v>174</v>
      </c>
      <c r="C43" s="19" t="s">
        <v>175</v>
      </c>
      <c r="D43" s="36">
        <v>18.0</v>
      </c>
      <c r="E43" s="44"/>
      <c r="F43" s="39">
        <v>15.0</v>
      </c>
      <c r="G43" s="39">
        <v>16.0</v>
      </c>
      <c r="I43" s="29">
        <f t="shared" ref="I43:J43" si="42">D43*(15/20)</f>
        <v>13.5</v>
      </c>
      <c r="J43" s="29">
        <f t="shared" si="42"/>
        <v>0</v>
      </c>
      <c r="K43" s="29">
        <f t="shared" si="3"/>
        <v>15</v>
      </c>
      <c r="L43" s="29">
        <f t="shared" si="4"/>
        <v>12</v>
      </c>
      <c r="M43" s="33">
        <f t="shared" si="5"/>
        <v>13.5</v>
      </c>
    </row>
    <row r="44">
      <c r="A44" s="30">
        <f t="shared" si="6"/>
        <v>39</v>
      </c>
      <c r="B44" s="19" t="s">
        <v>176</v>
      </c>
      <c r="C44" s="19" t="s">
        <v>178</v>
      </c>
      <c r="D44" s="36">
        <v>10.0</v>
      </c>
      <c r="E44" s="47">
        <v>5.0</v>
      </c>
      <c r="F44" s="39">
        <v>4.0</v>
      </c>
      <c r="G44" s="39">
        <v>9.0</v>
      </c>
      <c r="I44" s="29">
        <f t="shared" ref="I44:J44" si="43">D44*(15/20)</f>
        <v>7.5</v>
      </c>
      <c r="J44" s="29">
        <f t="shared" si="43"/>
        <v>3.75</v>
      </c>
      <c r="K44" s="29">
        <f t="shared" si="3"/>
        <v>4</v>
      </c>
      <c r="L44" s="29">
        <f t="shared" si="4"/>
        <v>6.75</v>
      </c>
      <c r="M44" s="33">
        <f t="shared" si="5"/>
        <v>6.083333333</v>
      </c>
    </row>
    <row r="45">
      <c r="A45" s="30">
        <f t="shared" si="6"/>
        <v>40</v>
      </c>
      <c r="B45" s="19" t="s">
        <v>180</v>
      </c>
      <c r="C45" s="19" t="s">
        <v>181</v>
      </c>
      <c r="D45" s="55">
        <v>16.0</v>
      </c>
      <c r="E45" s="56">
        <v>6.0</v>
      </c>
      <c r="F45" s="57">
        <v>6.0</v>
      </c>
      <c r="G45" s="57">
        <v>11.0</v>
      </c>
      <c r="I45" s="29">
        <f t="shared" ref="I45:J45" si="44">D45*(15/20)</f>
        <v>12</v>
      </c>
      <c r="J45" s="29">
        <f t="shared" si="44"/>
        <v>4.5</v>
      </c>
      <c r="K45" s="29">
        <f t="shared" si="3"/>
        <v>6</v>
      </c>
      <c r="L45" s="29">
        <f t="shared" si="4"/>
        <v>8.25</v>
      </c>
      <c r="M45" s="33">
        <f t="shared" si="5"/>
        <v>8.75</v>
      </c>
    </row>
    <row r="46">
      <c r="D46" s="58">
        <f t="shared" ref="D46:G46" si="45">COUNTIF(D6:D45,"&gt;0")</f>
        <v>36</v>
      </c>
      <c r="E46" s="58">
        <f t="shared" si="45"/>
        <v>33</v>
      </c>
      <c r="F46" s="58">
        <f t="shared" si="45"/>
        <v>34</v>
      </c>
      <c r="G46" s="58">
        <f t="shared" si="45"/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3" max="3" width="30.29"/>
    <col customWidth="1" min="8" max="8" width="17.57"/>
  </cols>
  <sheetData>
    <row r="2">
      <c r="B2" s="3" t="s">
        <v>1</v>
      </c>
    </row>
    <row r="5">
      <c r="A5" s="4" t="s">
        <v>3</v>
      </c>
      <c r="B5" s="7" t="s">
        <v>5</v>
      </c>
      <c r="C5" s="9" t="s">
        <v>6</v>
      </c>
      <c r="D5" s="11" t="s">
        <v>9</v>
      </c>
      <c r="E5" s="11" t="s">
        <v>13</v>
      </c>
      <c r="F5" s="11" t="s">
        <v>14</v>
      </c>
      <c r="G5" s="11" t="s">
        <v>15</v>
      </c>
      <c r="H5" s="11" t="s">
        <v>16</v>
      </c>
      <c r="I5" s="14" t="s">
        <v>17</v>
      </c>
    </row>
    <row r="6">
      <c r="A6" s="17">
        <v>1.0</v>
      </c>
      <c r="B6" s="18" t="s">
        <v>29</v>
      </c>
      <c r="C6" s="19" t="s">
        <v>30</v>
      </c>
      <c r="D6" s="21">
        <v>3.0</v>
      </c>
      <c r="E6" s="23"/>
      <c r="F6" s="21">
        <v>3.0</v>
      </c>
      <c r="G6" s="21">
        <v>4.0</v>
      </c>
      <c r="H6" s="23">
        <f t="shared" ref="H6:H45" si="1">SUM(D6:G6)</f>
        <v>10</v>
      </c>
      <c r="I6" s="31">
        <f t="shared" ref="I6:I45" si="2">H6*(25/30)</f>
        <v>8.333333333</v>
      </c>
    </row>
    <row r="7">
      <c r="A7" s="30">
        <f t="shared" ref="A7:A45" si="3">A6+1</f>
        <v>2</v>
      </c>
      <c r="B7" s="19" t="s">
        <v>34</v>
      </c>
      <c r="C7" s="19" t="s">
        <v>35</v>
      </c>
      <c r="D7" s="21">
        <v>3.0</v>
      </c>
      <c r="E7" s="21">
        <v>1.0</v>
      </c>
      <c r="F7" s="21">
        <v>5.0</v>
      </c>
      <c r="G7" s="21">
        <v>7.0</v>
      </c>
      <c r="H7" s="23">
        <f t="shared" si="1"/>
        <v>16</v>
      </c>
      <c r="I7" s="31">
        <f t="shared" si="2"/>
        <v>13.33333333</v>
      </c>
    </row>
    <row r="8">
      <c r="A8" s="30">
        <f t="shared" si="3"/>
        <v>3</v>
      </c>
      <c r="B8" s="19" t="s">
        <v>36</v>
      </c>
      <c r="C8" s="40" t="s">
        <v>37</v>
      </c>
      <c r="D8" s="21">
        <v>3.0</v>
      </c>
      <c r="E8" s="21">
        <v>4.0</v>
      </c>
      <c r="F8" s="23"/>
      <c r="G8" s="21">
        <v>3.0</v>
      </c>
      <c r="H8" s="23">
        <f t="shared" si="1"/>
        <v>10</v>
      </c>
      <c r="I8" s="31">
        <f t="shared" si="2"/>
        <v>8.333333333</v>
      </c>
    </row>
    <row r="9">
      <c r="A9" s="30">
        <f t="shared" si="3"/>
        <v>4</v>
      </c>
      <c r="B9" s="19" t="s">
        <v>38</v>
      </c>
      <c r="C9" s="19" t="s">
        <v>39</v>
      </c>
      <c r="D9" s="21">
        <v>1.0</v>
      </c>
      <c r="E9" s="21">
        <v>3.0</v>
      </c>
      <c r="F9" s="21">
        <v>3.0</v>
      </c>
      <c r="G9" s="21">
        <v>3.0</v>
      </c>
      <c r="H9" s="23">
        <f t="shared" si="1"/>
        <v>10</v>
      </c>
      <c r="I9" s="31">
        <f t="shared" si="2"/>
        <v>8.333333333</v>
      </c>
    </row>
    <row r="10">
      <c r="A10" s="30">
        <f t="shared" si="3"/>
        <v>5</v>
      </c>
      <c r="B10" s="19" t="s">
        <v>41</v>
      </c>
      <c r="C10" s="19" t="s">
        <v>42</v>
      </c>
      <c r="D10" s="21">
        <v>2.0</v>
      </c>
      <c r="E10" s="21">
        <v>7.0</v>
      </c>
      <c r="F10" s="21">
        <v>5.0</v>
      </c>
      <c r="G10" s="21">
        <v>7.0</v>
      </c>
      <c r="H10" s="23">
        <f t="shared" si="1"/>
        <v>21</v>
      </c>
      <c r="I10" s="31">
        <f t="shared" si="2"/>
        <v>17.5</v>
      </c>
    </row>
    <row r="11">
      <c r="A11" s="30">
        <f t="shared" si="3"/>
        <v>6</v>
      </c>
      <c r="B11" s="19" t="s">
        <v>49</v>
      </c>
      <c r="C11" s="19" t="s">
        <v>51</v>
      </c>
      <c r="D11" s="21">
        <v>5.0</v>
      </c>
      <c r="E11" s="21">
        <v>2.0</v>
      </c>
      <c r="F11" s="21">
        <v>5.0</v>
      </c>
      <c r="G11" s="21">
        <v>7.0</v>
      </c>
      <c r="H11" s="23">
        <f t="shared" si="1"/>
        <v>19</v>
      </c>
      <c r="I11" s="31">
        <f t="shared" si="2"/>
        <v>15.83333333</v>
      </c>
    </row>
    <row r="12">
      <c r="A12" s="30">
        <f t="shared" si="3"/>
        <v>7</v>
      </c>
      <c r="B12" s="19" t="s">
        <v>52</v>
      </c>
      <c r="C12" s="19" t="s">
        <v>53</v>
      </c>
      <c r="D12" s="21">
        <v>3.0</v>
      </c>
      <c r="E12" s="21">
        <v>4.0</v>
      </c>
      <c r="F12" s="21">
        <v>3.0</v>
      </c>
      <c r="G12" s="21">
        <v>5.0</v>
      </c>
      <c r="H12" s="23">
        <f t="shared" si="1"/>
        <v>15</v>
      </c>
      <c r="I12" s="31">
        <f t="shared" si="2"/>
        <v>12.5</v>
      </c>
    </row>
    <row r="13">
      <c r="A13" s="30">
        <f t="shared" si="3"/>
        <v>8</v>
      </c>
      <c r="B13" s="19" t="s">
        <v>55</v>
      </c>
      <c r="C13" s="19" t="s">
        <v>56</v>
      </c>
      <c r="D13" s="21">
        <v>3.0</v>
      </c>
      <c r="E13" s="21">
        <v>3.0</v>
      </c>
      <c r="F13" s="21">
        <v>4.0</v>
      </c>
      <c r="G13" s="21">
        <v>5.0</v>
      </c>
      <c r="H13" s="23">
        <f t="shared" si="1"/>
        <v>15</v>
      </c>
      <c r="I13" s="31">
        <f t="shared" si="2"/>
        <v>12.5</v>
      </c>
    </row>
    <row r="14">
      <c r="A14" s="30">
        <f t="shared" si="3"/>
        <v>9</v>
      </c>
      <c r="B14" s="19" t="s">
        <v>64</v>
      </c>
      <c r="C14" s="19" t="s">
        <v>65</v>
      </c>
      <c r="D14" s="21">
        <v>5.0</v>
      </c>
      <c r="E14" s="21">
        <v>3.0</v>
      </c>
      <c r="F14" s="21">
        <v>2.0</v>
      </c>
      <c r="G14" s="21">
        <v>7.0</v>
      </c>
      <c r="H14" s="23">
        <f t="shared" si="1"/>
        <v>17</v>
      </c>
      <c r="I14" s="31">
        <f t="shared" si="2"/>
        <v>14.16666667</v>
      </c>
    </row>
    <row r="15">
      <c r="A15" s="30">
        <f t="shared" si="3"/>
        <v>10</v>
      </c>
      <c r="B15" s="19" t="s">
        <v>66</v>
      </c>
      <c r="C15" s="19" t="s">
        <v>67</v>
      </c>
      <c r="D15" s="21">
        <v>5.0</v>
      </c>
      <c r="E15" s="21">
        <v>5.0</v>
      </c>
      <c r="F15" s="21">
        <v>2.0</v>
      </c>
      <c r="G15" s="21">
        <v>8.0</v>
      </c>
      <c r="H15" s="23">
        <f t="shared" si="1"/>
        <v>20</v>
      </c>
      <c r="I15" s="31">
        <f t="shared" si="2"/>
        <v>16.66666667</v>
      </c>
    </row>
    <row r="16">
      <c r="A16" s="30">
        <f t="shared" si="3"/>
        <v>11</v>
      </c>
      <c r="B16" s="19" t="s">
        <v>70</v>
      </c>
      <c r="C16" s="19" t="s">
        <v>71</v>
      </c>
      <c r="D16" s="21">
        <v>3.0</v>
      </c>
      <c r="E16" s="21">
        <v>3.0</v>
      </c>
      <c r="F16" s="21">
        <v>2.0</v>
      </c>
      <c r="G16" s="21">
        <v>2.0</v>
      </c>
      <c r="H16" s="23">
        <f t="shared" si="1"/>
        <v>10</v>
      </c>
      <c r="I16" s="31">
        <f t="shared" si="2"/>
        <v>8.333333333</v>
      </c>
    </row>
    <row r="17">
      <c r="A17" s="30">
        <f t="shared" si="3"/>
        <v>12</v>
      </c>
      <c r="B17" s="19" t="s">
        <v>76</v>
      </c>
      <c r="C17" s="19" t="s">
        <v>77</v>
      </c>
      <c r="D17" s="21">
        <v>3.0</v>
      </c>
      <c r="E17" s="21">
        <v>3.0</v>
      </c>
      <c r="F17" s="21">
        <v>3.0</v>
      </c>
      <c r="G17" s="21">
        <v>3.0</v>
      </c>
      <c r="H17" s="23">
        <f t="shared" si="1"/>
        <v>12</v>
      </c>
      <c r="I17" s="31">
        <f t="shared" si="2"/>
        <v>10</v>
      </c>
    </row>
    <row r="18">
      <c r="A18" s="30">
        <f t="shared" si="3"/>
        <v>13</v>
      </c>
      <c r="B18" s="19" t="s">
        <v>80</v>
      </c>
      <c r="C18" s="19" t="s">
        <v>81</v>
      </c>
      <c r="D18" s="21">
        <v>5.0</v>
      </c>
      <c r="E18" s="21">
        <v>3.0</v>
      </c>
      <c r="F18" s="23"/>
      <c r="G18" s="21">
        <v>5.0</v>
      </c>
      <c r="H18" s="23">
        <f t="shared" si="1"/>
        <v>13</v>
      </c>
      <c r="I18" s="31">
        <f t="shared" si="2"/>
        <v>10.83333333</v>
      </c>
    </row>
    <row r="19">
      <c r="A19" s="30">
        <f t="shared" si="3"/>
        <v>14</v>
      </c>
      <c r="B19" s="19" t="s">
        <v>84</v>
      </c>
      <c r="C19" s="19" t="s">
        <v>85</v>
      </c>
      <c r="D19" s="21">
        <v>3.0</v>
      </c>
      <c r="E19" s="21">
        <v>3.0</v>
      </c>
      <c r="F19" s="21">
        <v>1.0</v>
      </c>
      <c r="G19" s="21">
        <v>7.0</v>
      </c>
      <c r="H19" s="23">
        <f t="shared" si="1"/>
        <v>14</v>
      </c>
      <c r="I19" s="31">
        <f t="shared" si="2"/>
        <v>11.66666667</v>
      </c>
    </row>
    <row r="20">
      <c r="A20" s="30">
        <f t="shared" si="3"/>
        <v>15</v>
      </c>
      <c r="B20" s="19" t="s">
        <v>88</v>
      </c>
      <c r="C20" s="19" t="s">
        <v>89</v>
      </c>
      <c r="D20" s="21">
        <v>5.0</v>
      </c>
      <c r="E20" s="21">
        <v>4.0</v>
      </c>
      <c r="F20" s="21">
        <v>5.0</v>
      </c>
      <c r="G20" s="21">
        <v>9.0</v>
      </c>
      <c r="H20" s="23">
        <f t="shared" si="1"/>
        <v>23</v>
      </c>
      <c r="I20" s="31">
        <f t="shared" si="2"/>
        <v>19.16666667</v>
      </c>
    </row>
    <row r="21">
      <c r="A21" s="30">
        <f t="shared" si="3"/>
        <v>16</v>
      </c>
      <c r="B21" s="19" t="s">
        <v>92</v>
      </c>
      <c r="C21" s="19" t="s">
        <v>93</v>
      </c>
      <c r="D21" s="21">
        <v>3.0</v>
      </c>
      <c r="E21" s="21">
        <v>4.0</v>
      </c>
      <c r="F21" s="21">
        <v>5.0</v>
      </c>
      <c r="G21" s="21">
        <v>5.0</v>
      </c>
      <c r="H21" s="23">
        <f t="shared" si="1"/>
        <v>17</v>
      </c>
      <c r="I21" s="31">
        <f t="shared" si="2"/>
        <v>14.16666667</v>
      </c>
    </row>
    <row r="22">
      <c r="A22" s="30">
        <f t="shared" si="3"/>
        <v>17</v>
      </c>
      <c r="B22" s="19" t="s">
        <v>96</v>
      </c>
      <c r="C22" s="19" t="s">
        <v>98</v>
      </c>
      <c r="D22" s="21">
        <v>3.0</v>
      </c>
      <c r="E22" s="21">
        <v>4.0</v>
      </c>
      <c r="F22" s="21">
        <v>3.0</v>
      </c>
      <c r="G22" s="21">
        <v>6.0</v>
      </c>
      <c r="H22" s="23">
        <f t="shared" si="1"/>
        <v>16</v>
      </c>
      <c r="I22" s="31">
        <f t="shared" si="2"/>
        <v>13.33333333</v>
      </c>
    </row>
    <row r="23">
      <c r="A23" s="30">
        <f t="shared" si="3"/>
        <v>18</v>
      </c>
      <c r="B23" s="19" t="s">
        <v>99</v>
      </c>
      <c r="C23" s="40" t="s">
        <v>100</v>
      </c>
      <c r="D23" s="21">
        <v>5.0</v>
      </c>
      <c r="E23" s="23"/>
      <c r="F23" s="21">
        <v>6.0</v>
      </c>
      <c r="G23" s="21">
        <v>2.0</v>
      </c>
      <c r="H23" s="23">
        <f t="shared" si="1"/>
        <v>13</v>
      </c>
      <c r="I23" s="31">
        <f t="shared" si="2"/>
        <v>10.83333333</v>
      </c>
    </row>
    <row r="24">
      <c r="A24" s="30">
        <f t="shared" si="3"/>
        <v>19</v>
      </c>
      <c r="B24" s="19" t="s">
        <v>103</v>
      </c>
      <c r="C24" s="19" t="s">
        <v>104</v>
      </c>
      <c r="D24" s="21">
        <v>3.0</v>
      </c>
      <c r="E24" s="21">
        <v>3.0</v>
      </c>
      <c r="F24" s="21">
        <v>3.0</v>
      </c>
      <c r="G24" s="21">
        <v>2.0</v>
      </c>
      <c r="H24" s="23">
        <f t="shared" si="1"/>
        <v>11</v>
      </c>
      <c r="I24" s="31">
        <f t="shared" si="2"/>
        <v>9.166666667</v>
      </c>
    </row>
    <row r="25">
      <c r="A25" s="30">
        <f t="shared" si="3"/>
        <v>20</v>
      </c>
      <c r="B25" s="19" t="s">
        <v>120</v>
      </c>
      <c r="C25" s="19" t="s">
        <v>109</v>
      </c>
      <c r="D25" s="21">
        <v>5.0</v>
      </c>
      <c r="E25" s="21">
        <v>4.0</v>
      </c>
      <c r="F25" s="21">
        <v>5.0</v>
      </c>
      <c r="G25" s="21">
        <v>6.0</v>
      </c>
      <c r="H25" s="23">
        <f t="shared" si="1"/>
        <v>20</v>
      </c>
      <c r="I25" s="31">
        <f t="shared" si="2"/>
        <v>16.66666667</v>
      </c>
    </row>
    <row r="26">
      <c r="A26" s="30">
        <f t="shared" si="3"/>
        <v>21</v>
      </c>
      <c r="B26" s="19" t="s">
        <v>110</v>
      </c>
      <c r="C26" s="19" t="s">
        <v>112</v>
      </c>
      <c r="D26" s="21">
        <v>3.0</v>
      </c>
      <c r="E26" s="21">
        <v>3.0</v>
      </c>
      <c r="F26" s="21">
        <v>3.0</v>
      </c>
      <c r="G26" s="21">
        <v>9.0</v>
      </c>
      <c r="H26" s="23">
        <f t="shared" si="1"/>
        <v>18</v>
      </c>
      <c r="I26" s="31">
        <f t="shared" si="2"/>
        <v>15</v>
      </c>
    </row>
    <row r="27">
      <c r="A27" s="30">
        <f t="shared" si="3"/>
        <v>22</v>
      </c>
      <c r="B27" s="19" t="s">
        <v>114</v>
      </c>
      <c r="C27" s="19" t="s">
        <v>115</v>
      </c>
      <c r="D27" s="21">
        <v>5.0</v>
      </c>
      <c r="E27" s="21">
        <v>8.0</v>
      </c>
      <c r="F27" s="21">
        <v>3.0</v>
      </c>
      <c r="G27" s="21">
        <v>10.0</v>
      </c>
      <c r="H27" s="23">
        <f t="shared" si="1"/>
        <v>26</v>
      </c>
      <c r="I27" s="31">
        <f t="shared" si="2"/>
        <v>21.66666667</v>
      </c>
    </row>
    <row r="28">
      <c r="A28" s="30">
        <f t="shared" si="3"/>
        <v>23</v>
      </c>
      <c r="B28" s="19" t="s">
        <v>118</v>
      </c>
      <c r="C28" s="19" t="s">
        <v>119</v>
      </c>
      <c r="D28" s="21">
        <v>3.0</v>
      </c>
      <c r="E28" s="21">
        <v>3.0</v>
      </c>
      <c r="F28" s="21">
        <v>4.0</v>
      </c>
      <c r="G28" s="21">
        <v>7.0</v>
      </c>
      <c r="H28" s="23">
        <f t="shared" si="1"/>
        <v>17</v>
      </c>
      <c r="I28" s="31">
        <f t="shared" si="2"/>
        <v>14.16666667</v>
      </c>
    </row>
    <row r="29">
      <c r="A29" s="30">
        <f t="shared" si="3"/>
        <v>24</v>
      </c>
      <c r="B29" s="19" t="s">
        <v>123</v>
      </c>
      <c r="C29" s="19" t="s">
        <v>124</v>
      </c>
      <c r="D29" s="21">
        <v>4.0</v>
      </c>
      <c r="E29" s="21">
        <v>4.0</v>
      </c>
      <c r="F29" s="21">
        <v>4.0</v>
      </c>
      <c r="G29" s="21">
        <v>8.0</v>
      </c>
      <c r="H29" s="23">
        <f t="shared" si="1"/>
        <v>20</v>
      </c>
      <c r="I29" s="31">
        <f t="shared" si="2"/>
        <v>16.66666667</v>
      </c>
    </row>
    <row r="30">
      <c r="A30" s="30">
        <f t="shared" si="3"/>
        <v>25</v>
      </c>
      <c r="B30" s="19" t="s">
        <v>125</v>
      </c>
      <c r="C30" s="19" t="s">
        <v>127</v>
      </c>
      <c r="D30" s="21">
        <v>4.0</v>
      </c>
      <c r="E30" s="21">
        <v>4.0</v>
      </c>
      <c r="F30" s="21">
        <v>5.0</v>
      </c>
      <c r="G30" s="21">
        <v>8.0</v>
      </c>
      <c r="H30" s="23">
        <f t="shared" si="1"/>
        <v>21</v>
      </c>
      <c r="I30" s="31">
        <f t="shared" si="2"/>
        <v>17.5</v>
      </c>
    </row>
    <row r="31">
      <c r="A31" s="30">
        <f t="shared" si="3"/>
        <v>26</v>
      </c>
      <c r="B31" s="19" t="s">
        <v>129</v>
      </c>
      <c r="C31" s="19" t="s">
        <v>130</v>
      </c>
      <c r="D31" s="21">
        <v>5.0</v>
      </c>
      <c r="E31" s="21">
        <v>5.0</v>
      </c>
      <c r="F31" s="21">
        <v>5.0</v>
      </c>
      <c r="G31" s="21">
        <v>9.0</v>
      </c>
      <c r="H31" s="23">
        <f t="shared" si="1"/>
        <v>24</v>
      </c>
      <c r="I31" s="31">
        <f t="shared" si="2"/>
        <v>20</v>
      </c>
    </row>
    <row r="32">
      <c r="A32" s="30">
        <f t="shared" si="3"/>
        <v>27</v>
      </c>
      <c r="B32" s="19" t="s">
        <v>133</v>
      </c>
      <c r="C32" s="19" t="s">
        <v>134</v>
      </c>
      <c r="D32" s="21">
        <v>5.0</v>
      </c>
      <c r="E32" s="21">
        <v>3.0</v>
      </c>
      <c r="F32" s="21">
        <v>6.0</v>
      </c>
      <c r="G32" s="21">
        <v>10.0</v>
      </c>
      <c r="H32" s="23">
        <f t="shared" si="1"/>
        <v>24</v>
      </c>
      <c r="I32" s="31">
        <f t="shared" si="2"/>
        <v>20</v>
      </c>
    </row>
    <row r="33">
      <c r="A33" s="30">
        <f t="shared" si="3"/>
        <v>28</v>
      </c>
      <c r="B33" s="19" t="s">
        <v>137</v>
      </c>
      <c r="C33" s="19" t="s">
        <v>139</v>
      </c>
      <c r="D33" s="21">
        <v>3.0</v>
      </c>
      <c r="E33" s="21">
        <v>4.0</v>
      </c>
      <c r="F33" s="21">
        <v>4.0</v>
      </c>
      <c r="G33" s="21">
        <v>6.0</v>
      </c>
      <c r="H33" s="23">
        <f t="shared" si="1"/>
        <v>17</v>
      </c>
      <c r="I33" s="31">
        <f t="shared" si="2"/>
        <v>14.16666667</v>
      </c>
    </row>
    <row r="34">
      <c r="A34" s="30">
        <f t="shared" si="3"/>
        <v>29</v>
      </c>
      <c r="B34" s="19" t="s">
        <v>141</v>
      </c>
      <c r="C34" s="19" t="s">
        <v>142</v>
      </c>
      <c r="D34" s="21">
        <v>4.0</v>
      </c>
      <c r="E34" s="21">
        <v>3.0</v>
      </c>
      <c r="F34" s="21">
        <v>4.0</v>
      </c>
      <c r="G34" s="21">
        <v>10.0</v>
      </c>
      <c r="H34" s="23">
        <f t="shared" si="1"/>
        <v>21</v>
      </c>
      <c r="I34" s="31">
        <f t="shared" si="2"/>
        <v>17.5</v>
      </c>
    </row>
    <row r="35">
      <c r="A35" s="30">
        <f t="shared" si="3"/>
        <v>30</v>
      </c>
      <c r="B35" s="19" t="s">
        <v>146</v>
      </c>
      <c r="C35" s="40" t="s">
        <v>147</v>
      </c>
      <c r="D35" s="21">
        <v>4.0</v>
      </c>
      <c r="E35" s="21">
        <v>5.0</v>
      </c>
      <c r="F35" s="21">
        <v>4.0</v>
      </c>
      <c r="G35" s="21">
        <v>3.0</v>
      </c>
      <c r="H35" s="23">
        <f t="shared" si="1"/>
        <v>16</v>
      </c>
      <c r="I35" s="31">
        <f t="shared" si="2"/>
        <v>13.33333333</v>
      </c>
    </row>
    <row r="36">
      <c r="A36" s="30">
        <f t="shared" si="3"/>
        <v>31</v>
      </c>
      <c r="B36" s="19" t="s">
        <v>150</v>
      </c>
      <c r="C36" s="19" t="s">
        <v>151</v>
      </c>
      <c r="D36" s="21">
        <v>6.0</v>
      </c>
      <c r="E36" s="21">
        <v>8.0</v>
      </c>
      <c r="F36" s="21">
        <v>6.0</v>
      </c>
      <c r="G36" s="21">
        <v>10.0</v>
      </c>
      <c r="H36" s="23">
        <f t="shared" si="1"/>
        <v>30</v>
      </c>
      <c r="I36" s="31">
        <f t="shared" si="2"/>
        <v>25</v>
      </c>
    </row>
    <row r="37">
      <c r="A37" s="30">
        <f t="shared" si="3"/>
        <v>32</v>
      </c>
      <c r="B37" s="19" t="s">
        <v>152</v>
      </c>
      <c r="C37" s="19" t="s">
        <v>153</v>
      </c>
      <c r="D37" s="21">
        <v>5.0</v>
      </c>
      <c r="E37" s="21">
        <v>3.0</v>
      </c>
      <c r="F37" s="21">
        <v>4.0</v>
      </c>
      <c r="G37" s="21">
        <v>7.0</v>
      </c>
      <c r="H37" s="23">
        <f t="shared" si="1"/>
        <v>19</v>
      </c>
      <c r="I37" s="31">
        <f t="shared" si="2"/>
        <v>15.83333333</v>
      </c>
    </row>
    <row r="38">
      <c r="A38" s="30">
        <f t="shared" si="3"/>
        <v>33</v>
      </c>
      <c r="B38" s="19" t="s">
        <v>156</v>
      </c>
      <c r="C38" s="19" t="s">
        <v>157</v>
      </c>
      <c r="D38" s="23"/>
      <c r="E38" s="23"/>
      <c r="F38" s="23"/>
      <c r="G38" s="23"/>
      <c r="H38" s="23">
        <f t="shared" si="1"/>
        <v>0</v>
      </c>
      <c r="I38" s="31">
        <f t="shared" si="2"/>
        <v>0</v>
      </c>
    </row>
    <row r="39">
      <c r="A39" s="30">
        <f t="shared" si="3"/>
        <v>34</v>
      </c>
      <c r="B39" s="19" t="s">
        <v>160</v>
      </c>
      <c r="C39" s="19" t="s">
        <v>161</v>
      </c>
      <c r="D39" s="21">
        <v>1.0</v>
      </c>
      <c r="E39" s="21">
        <v>3.0</v>
      </c>
      <c r="F39" s="21">
        <v>4.0</v>
      </c>
      <c r="G39" s="21">
        <v>3.0</v>
      </c>
      <c r="H39" s="23">
        <f t="shared" si="1"/>
        <v>11</v>
      </c>
      <c r="I39" s="31">
        <f t="shared" si="2"/>
        <v>9.166666667</v>
      </c>
    </row>
    <row r="40">
      <c r="A40" s="30">
        <f t="shared" si="3"/>
        <v>35</v>
      </c>
      <c r="B40" s="19" t="s">
        <v>163</v>
      </c>
      <c r="C40" s="19" t="s">
        <v>165</v>
      </c>
      <c r="D40" s="21">
        <v>5.0</v>
      </c>
      <c r="E40" s="21">
        <v>4.0</v>
      </c>
      <c r="F40" s="21">
        <v>5.0</v>
      </c>
      <c r="G40" s="21">
        <v>5.0</v>
      </c>
      <c r="H40" s="23">
        <f t="shared" si="1"/>
        <v>19</v>
      </c>
      <c r="I40" s="31">
        <f t="shared" si="2"/>
        <v>15.83333333</v>
      </c>
    </row>
    <row r="41">
      <c r="A41" s="30">
        <f t="shared" si="3"/>
        <v>36</v>
      </c>
      <c r="B41" s="19" t="s">
        <v>166</v>
      </c>
      <c r="C41" s="19" t="s">
        <v>167</v>
      </c>
      <c r="D41" s="21">
        <v>3.0</v>
      </c>
      <c r="E41" s="21">
        <v>3.0</v>
      </c>
      <c r="F41" s="21">
        <v>4.0</v>
      </c>
      <c r="G41" s="21">
        <v>8.0</v>
      </c>
      <c r="H41" s="23">
        <f t="shared" si="1"/>
        <v>18</v>
      </c>
      <c r="I41" s="31">
        <f t="shared" si="2"/>
        <v>15</v>
      </c>
    </row>
    <row r="42">
      <c r="A42" s="30">
        <f t="shared" si="3"/>
        <v>37</v>
      </c>
      <c r="B42" s="19" t="s">
        <v>170</v>
      </c>
      <c r="C42" s="19" t="s">
        <v>171</v>
      </c>
      <c r="D42" s="21">
        <v>5.0</v>
      </c>
      <c r="E42" s="21">
        <v>7.0</v>
      </c>
      <c r="F42" s="21">
        <v>6.0</v>
      </c>
      <c r="G42" s="21">
        <v>9.0</v>
      </c>
      <c r="H42" s="23">
        <f t="shared" si="1"/>
        <v>27</v>
      </c>
      <c r="I42" s="31">
        <f t="shared" si="2"/>
        <v>22.5</v>
      </c>
    </row>
    <row r="43">
      <c r="A43" s="30">
        <f t="shared" si="3"/>
        <v>38</v>
      </c>
      <c r="B43" s="19" t="s">
        <v>174</v>
      </c>
      <c r="C43" s="19" t="s">
        <v>175</v>
      </c>
      <c r="D43" s="21">
        <v>3.0</v>
      </c>
      <c r="E43" s="21">
        <v>4.0</v>
      </c>
      <c r="F43" s="21">
        <v>4.0</v>
      </c>
      <c r="G43" s="21">
        <v>9.0</v>
      </c>
      <c r="H43" s="23">
        <f t="shared" si="1"/>
        <v>20</v>
      </c>
      <c r="I43" s="31">
        <f t="shared" si="2"/>
        <v>16.66666667</v>
      </c>
    </row>
    <row r="44">
      <c r="A44" s="30">
        <f t="shared" si="3"/>
        <v>39</v>
      </c>
      <c r="B44" s="19" t="s">
        <v>176</v>
      </c>
      <c r="C44" s="19" t="s">
        <v>178</v>
      </c>
      <c r="D44" s="21">
        <v>2.0</v>
      </c>
      <c r="E44" s="21">
        <v>3.0</v>
      </c>
      <c r="F44" s="21">
        <v>5.0</v>
      </c>
      <c r="G44" s="21">
        <v>3.0</v>
      </c>
      <c r="H44" s="23">
        <f t="shared" si="1"/>
        <v>13</v>
      </c>
      <c r="I44" s="31">
        <f t="shared" si="2"/>
        <v>10.83333333</v>
      </c>
    </row>
    <row r="45">
      <c r="A45" s="30">
        <f t="shared" si="3"/>
        <v>40</v>
      </c>
      <c r="B45" s="19" t="s">
        <v>180</v>
      </c>
      <c r="C45" s="19" t="s">
        <v>181</v>
      </c>
      <c r="D45" s="21">
        <v>2.0</v>
      </c>
      <c r="E45" s="21">
        <v>4.0</v>
      </c>
      <c r="F45" s="21">
        <v>5.0</v>
      </c>
      <c r="G45" s="21">
        <v>6.0</v>
      </c>
      <c r="H45" s="23">
        <f t="shared" si="1"/>
        <v>17</v>
      </c>
      <c r="I45" s="31">
        <f t="shared" si="2"/>
        <v>14.16666667</v>
      </c>
    </row>
    <row r="46">
      <c r="H46" s="54">
        <f>COUNTIF(H6:H45,"&gt;0")</f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3.0"/>
    <col customWidth="1" min="3" max="3" width="28.4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5" t="s">
        <v>4</v>
      </c>
      <c r="C2" s="1"/>
      <c r="D2" s="1"/>
      <c r="E2" s="1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2" t="s">
        <v>3</v>
      </c>
      <c r="B5" s="12" t="s">
        <v>5</v>
      </c>
      <c r="C5" s="15" t="s">
        <v>6</v>
      </c>
      <c r="D5" s="15" t="s">
        <v>22</v>
      </c>
      <c r="E5" s="15" t="s">
        <v>23</v>
      </c>
      <c r="F5" s="15" t="s">
        <v>24</v>
      </c>
      <c r="G5" s="15" t="s">
        <v>25</v>
      </c>
      <c r="H5" s="15" t="s">
        <v>26</v>
      </c>
      <c r="I5" s="15" t="s">
        <v>27</v>
      </c>
    </row>
    <row r="6">
      <c r="A6" s="17">
        <v>1.0</v>
      </c>
      <c r="B6" s="18" t="s">
        <v>29</v>
      </c>
      <c r="C6" s="19" t="s">
        <v>30</v>
      </c>
      <c r="D6" s="24">
        <v>2.0</v>
      </c>
      <c r="E6" s="26">
        <v>2.0</v>
      </c>
      <c r="F6" s="26">
        <v>2.0</v>
      </c>
      <c r="G6" s="26">
        <v>3.0</v>
      </c>
      <c r="H6" s="27">
        <v>6.0</v>
      </c>
      <c r="I6" s="23">
        <f t="shared" ref="I6:I45" si="1">SUM(D6:H6)</f>
        <v>15</v>
      </c>
    </row>
    <row r="7">
      <c r="A7" s="30">
        <f t="shared" ref="A7:A45" si="2">A6+1</f>
        <v>2</v>
      </c>
      <c r="B7" s="19" t="s">
        <v>34</v>
      </c>
      <c r="C7" s="19" t="s">
        <v>35</v>
      </c>
      <c r="D7" s="24">
        <v>2.0</v>
      </c>
      <c r="E7" s="26">
        <v>2.0</v>
      </c>
      <c r="F7" s="26">
        <v>2.0</v>
      </c>
      <c r="G7" s="26">
        <v>6.0</v>
      </c>
      <c r="H7" s="27">
        <v>10.0</v>
      </c>
      <c r="I7" s="23">
        <f t="shared" si="1"/>
        <v>22</v>
      </c>
    </row>
    <row r="8">
      <c r="A8" s="30">
        <f t="shared" si="2"/>
        <v>3</v>
      </c>
      <c r="B8" s="19" t="s">
        <v>36</v>
      </c>
      <c r="C8" s="19" t="s">
        <v>37</v>
      </c>
      <c r="D8" s="24">
        <v>1.0</v>
      </c>
      <c r="E8" s="26">
        <v>2.0</v>
      </c>
      <c r="F8" s="26">
        <v>2.0</v>
      </c>
      <c r="G8" s="32"/>
      <c r="H8" s="27">
        <v>4.0</v>
      </c>
      <c r="I8" s="23">
        <f t="shared" si="1"/>
        <v>9</v>
      </c>
    </row>
    <row r="9">
      <c r="A9" s="30">
        <f t="shared" si="2"/>
        <v>4</v>
      </c>
      <c r="B9" s="19" t="s">
        <v>38</v>
      </c>
      <c r="C9" s="19" t="s">
        <v>39</v>
      </c>
      <c r="D9" s="24">
        <v>2.0</v>
      </c>
      <c r="E9" s="26">
        <v>4.0</v>
      </c>
      <c r="F9" s="26">
        <v>3.0</v>
      </c>
      <c r="G9" s="26">
        <v>2.0</v>
      </c>
      <c r="H9" s="27">
        <v>4.0</v>
      </c>
      <c r="I9" s="23">
        <f t="shared" si="1"/>
        <v>15</v>
      </c>
    </row>
    <row r="10">
      <c r="A10" s="30">
        <f t="shared" si="2"/>
        <v>5</v>
      </c>
      <c r="B10" s="19" t="s">
        <v>41</v>
      </c>
      <c r="C10" s="19" t="s">
        <v>42</v>
      </c>
      <c r="D10" s="38"/>
      <c r="E10" s="26">
        <v>6.0</v>
      </c>
      <c r="F10" s="26">
        <v>3.0</v>
      </c>
      <c r="G10" s="26">
        <v>2.0</v>
      </c>
      <c r="H10" s="27">
        <v>5.0</v>
      </c>
      <c r="I10" s="23">
        <f t="shared" si="1"/>
        <v>16</v>
      </c>
    </row>
    <row r="11">
      <c r="A11" s="30">
        <f t="shared" si="2"/>
        <v>6</v>
      </c>
      <c r="B11" s="19" t="s">
        <v>49</v>
      </c>
      <c r="C11" s="19" t="s">
        <v>51</v>
      </c>
      <c r="D11" s="24">
        <v>4.0</v>
      </c>
      <c r="E11" s="26">
        <v>3.0</v>
      </c>
      <c r="F11" s="26">
        <v>2.0</v>
      </c>
      <c r="G11" s="26">
        <v>2.0</v>
      </c>
      <c r="H11" s="27">
        <v>6.0</v>
      </c>
      <c r="I11" s="23">
        <f t="shared" si="1"/>
        <v>17</v>
      </c>
    </row>
    <row r="12">
      <c r="A12" s="30">
        <f t="shared" si="2"/>
        <v>7</v>
      </c>
      <c r="B12" s="19" t="s">
        <v>52</v>
      </c>
      <c r="C12" s="19" t="s">
        <v>53</v>
      </c>
      <c r="D12" s="24">
        <v>3.0</v>
      </c>
      <c r="E12" s="26">
        <v>3.0</v>
      </c>
      <c r="F12" s="26">
        <v>2.0</v>
      </c>
      <c r="G12" s="26">
        <v>2.0</v>
      </c>
      <c r="H12" s="27">
        <v>3.0</v>
      </c>
      <c r="I12" s="23">
        <f t="shared" si="1"/>
        <v>13</v>
      </c>
    </row>
    <row r="13">
      <c r="A13" s="30">
        <f t="shared" si="2"/>
        <v>8</v>
      </c>
      <c r="B13" s="19" t="s">
        <v>55</v>
      </c>
      <c r="C13" s="19" t="s">
        <v>56</v>
      </c>
      <c r="D13" s="24">
        <v>2.0</v>
      </c>
      <c r="E13" s="26">
        <v>3.0</v>
      </c>
      <c r="F13" s="26">
        <v>2.0</v>
      </c>
      <c r="G13" s="26">
        <v>2.0</v>
      </c>
      <c r="H13" s="27">
        <v>6.0</v>
      </c>
      <c r="I13" s="23">
        <f t="shared" si="1"/>
        <v>15</v>
      </c>
    </row>
    <row r="14">
      <c r="A14" s="30">
        <f t="shared" si="2"/>
        <v>9</v>
      </c>
      <c r="B14" s="19" t="s">
        <v>64</v>
      </c>
      <c r="C14" s="19" t="s">
        <v>65</v>
      </c>
      <c r="D14" s="24">
        <v>2.0</v>
      </c>
      <c r="E14" s="26">
        <v>6.0</v>
      </c>
      <c r="F14" s="26">
        <v>4.0</v>
      </c>
      <c r="G14" s="26">
        <v>6.0</v>
      </c>
      <c r="H14" s="27">
        <v>6.0</v>
      </c>
      <c r="I14" s="23">
        <f t="shared" si="1"/>
        <v>24</v>
      </c>
    </row>
    <row r="15">
      <c r="A15" s="30">
        <f t="shared" si="2"/>
        <v>10</v>
      </c>
      <c r="B15" s="19" t="s">
        <v>66</v>
      </c>
      <c r="C15" s="19" t="s">
        <v>67</v>
      </c>
      <c r="D15" s="24">
        <v>4.0</v>
      </c>
      <c r="E15" s="26">
        <v>6.0</v>
      </c>
      <c r="F15" s="26">
        <v>2.0</v>
      </c>
      <c r="G15" s="26">
        <v>6.0</v>
      </c>
      <c r="H15" s="27">
        <v>8.0</v>
      </c>
      <c r="I15" s="23">
        <f t="shared" si="1"/>
        <v>26</v>
      </c>
    </row>
    <row r="16">
      <c r="A16" s="30">
        <f t="shared" si="2"/>
        <v>11</v>
      </c>
      <c r="B16" s="19" t="s">
        <v>70</v>
      </c>
      <c r="C16" s="19" t="s">
        <v>71</v>
      </c>
      <c r="D16" s="38"/>
      <c r="E16" s="32"/>
      <c r="F16" s="32"/>
      <c r="G16" s="32"/>
      <c r="H16" s="46"/>
      <c r="I16" s="23">
        <f t="shared" si="1"/>
        <v>0</v>
      </c>
      <c r="S16" s="48">
        <f>SUM(I6:I45)</f>
        <v>721</v>
      </c>
    </row>
    <row r="17">
      <c r="A17" s="30">
        <f t="shared" si="2"/>
        <v>12</v>
      </c>
      <c r="B17" s="19" t="s">
        <v>76</v>
      </c>
      <c r="C17" s="19" t="s">
        <v>77</v>
      </c>
      <c r="D17" s="24">
        <v>3.0</v>
      </c>
      <c r="E17" s="26">
        <v>3.0</v>
      </c>
      <c r="F17" s="26">
        <v>2.0</v>
      </c>
      <c r="G17" s="26">
        <v>2.0</v>
      </c>
      <c r="H17" s="27">
        <v>7.0</v>
      </c>
      <c r="I17" s="23">
        <f t="shared" si="1"/>
        <v>17</v>
      </c>
      <c r="S17" s="48">
        <f>S16/34</f>
        <v>21.20588235</v>
      </c>
    </row>
    <row r="18">
      <c r="A18" s="30">
        <f t="shared" si="2"/>
        <v>13</v>
      </c>
      <c r="B18" s="19" t="s">
        <v>80</v>
      </c>
      <c r="C18" s="19" t="s">
        <v>81</v>
      </c>
      <c r="D18" s="24">
        <v>5.0</v>
      </c>
      <c r="E18" s="26">
        <v>6.0</v>
      </c>
      <c r="F18" s="26">
        <v>1.0</v>
      </c>
      <c r="G18" s="26">
        <v>4.0</v>
      </c>
      <c r="H18" s="27">
        <v>5.0</v>
      </c>
      <c r="I18" s="23">
        <f t="shared" si="1"/>
        <v>21</v>
      </c>
    </row>
    <row r="19">
      <c r="A19" s="30">
        <f t="shared" si="2"/>
        <v>14</v>
      </c>
      <c r="B19" s="19" t="s">
        <v>84</v>
      </c>
      <c r="C19" s="19" t="s">
        <v>85</v>
      </c>
      <c r="D19" s="24">
        <v>2.0</v>
      </c>
      <c r="E19" s="26">
        <v>4.0</v>
      </c>
      <c r="F19" s="26">
        <v>2.0</v>
      </c>
      <c r="G19" s="26">
        <v>6.0</v>
      </c>
      <c r="H19" s="27">
        <v>10.0</v>
      </c>
      <c r="I19" s="23">
        <f t="shared" si="1"/>
        <v>24</v>
      </c>
    </row>
    <row r="20">
      <c r="A20" s="30">
        <f t="shared" si="2"/>
        <v>15</v>
      </c>
      <c r="B20" s="19" t="s">
        <v>88</v>
      </c>
      <c r="C20" s="19" t="s">
        <v>89</v>
      </c>
      <c r="D20" s="24">
        <v>4.0</v>
      </c>
      <c r="E20" s="26">
        <v>5.0</v>
      </c>
      <c r="F20" s="26">
        <v>3.0</v>
      </c>
      <c r="G20" s="26">
        <v>6.0</v>
      </c>
      <c r="H20" s="27">
        <v>10.0</v>
      </c>
      <c r="I20" s="23">
        <f t="shared" si="1"/>
        <v>28</v>
      </c>
    </row>
    <row r="21">
      <c r="A21" s="30">
        <f t="shared" si="2"/>
        <v>16</v>
      </c>
      <c r="B21" s="19" t="s">
        <v>92</v>
      </c>
      <c r="C21" s="19" t="s">
        <v>93</v>
      </c>
      <c r="D21" s="24">
        <v>6.0</v>
      </c>
      <c r="E21" s="26">
        <v>4.0</v>
      </c>
      <c r="F21" s="26">
        <v>2.0</v>
      </c>
      <c r="G21" s="26">
        <v>6.0</v>
      </c>
      <c r="H21" s="27">
        <v>6.0</v>
      </c>
      <c r="I21" s="23">
        <f t="shared" si="1"/>
        <v>24</v>
      </c>
    </row>
    <row r="22">
      <c r="A22" s="30">
        <f t="shared" si="2"/>
        <v>17</v>
      </c>
      <c r="B22" s="19" t="s">
        <v>96</v>
      </c>
      <c r="C22" s="19" t="s">
        <v>98</v>
      </c>
      <c r="D22" s="24">
        <v>5.0</v>
      </c>
      <c r="E22" s="26">
        <v>4.0</v>
      </c>
      <c r="F22" s="26">
        <v>2.0</v>
      </c>
      <c r="G22" s="26">
        <v>2.0</v>
      </c>
      <c r="H22" s="27">
        <v>7.0</v>
      </c>
      <c r="I22" s="23">
        <f t="shared" si="1"/>
        <v>20</v>
      </c>
    </row>
    <row r="23">
      <c r="A23" s="30">
        <f t="shared" si="2"/>
        <v>18</v>
      </c>
      <c r="B23" s="19" t="s">
        <v>99</v>
      </c>
      <c r="C23" s="19" t="s">
        <v>100</v>
      </c>
      <c r="D23" s="38"/>
      <c r="E23" s="32"/>
      <c r="F23" s="32"/>
      <c r="G23" s="32"/>
      <c r="H23" s="46"/>
      <c r="I23" s="23">
        <f t="shared" si="1"/>
        <v>0</v>
      </c>
    </row>
    <row r="24">
      <c r="A24" s="30">
        <f t="shared" si="2"/>
        <v>19</v>
      </c>
      <c r="B24" s="19" t="s">
        <v>103</v>
      </c>
      <c r="C24" s="19" t="s">
        <v>104</v>
      </c>
      <c r="D24" s="24">
        <v>3.0</v>
      </c>
      <c r="E24" s="26">
        <v>3.0</v>
      </c>
      <c r="F24" s="26">
        <v>2.0</v>
      </c>
      <c r="G24" s="32"/>
      <c r="H24" s="27">
        <v>6.0</v>
      </c>
      <c r="I24" s="23">
        <f t="shared" si="1"/>
        <v>14</v>
      </c>
    </row>
    <row r="25">
      <c r="A25" s="30">
        <f t="shared" si="2"/>
        <v>20</v>
      </c>
      <c r="B25" s="50">
        <f>B24+1</f>
        <v>24201367</v>
      </c>
      <c r="C25" s="19" t="s">
        <v>109</v>
      </c>
      <c r="D25" s="24">
        <v>6.0</v>
      </c>
      <c r="E25" s="26">
        <v>4.0</v>
      </c>
      <c r="F25" s="26">
        <v>3.0</v>
      </c>
      <c r="G25" s="26">
        <v>2.0</v>
      </c>
      <c r="H25" s="27">
        <v>9.0</v>
      </c>
      <c r="I25" s="23">
        <f t="shared" si="1"/>
        <v>24</v>
      </c>
    </row>
    <row r="26">
      <c r="A26" s="30">
        <f t="shared" si="2"/>
        <v>21</v>
      </c>
      <c r="B26" s="19" t="s">
        <v>110</v>
      </c>
      <c r="C26" s="19" t="s">
        <v>112</v>
      </c>
      <c r="D26" s="24">
        <v>2.0</v>
      </c>
      <c r="E26" s="26">
        <v>4.0</v>
      </c>
      <c r="F26" s="26">
        <v>3.0</v>
      </c>
      <c r="G26" s="26">
        <v>1.0</v>
      </c>
      <c r="H26" s="27">
        <v>8.0</v>
      </c>
      <c r="I26" s="23">
        <f t="shared" si="1"/>
        <v>18</v>
      </c>
    </row>
    <row r="27">
      <c r="A27" s="30">
        <f t="shared" si="2"/>
        <v>22</v>
      </c>
      <c r="B27" s="19" t="s">
        <v>114</v>
      </c>
      <c r="C27" s="19" t="s">
        <v>115</v>
      </c>
      <c r="D27" s="24">
        <v>5.0</v>
      </c>
      <c r="E27" s="26">
        <v>5.0</v>
      </c>
      <c r="F27" s="26">
        <v>3.0</v>
      </c>
      <c r="G27" s="26">
        <v>6.0</v>
      </c>
      <c r="H27" s="27">
        <v>8.0</v>
      </c>
      <c r="I27" s="23">
        <f t="shared" si="1"/>
        <v>27</v>
      </c>
    </row>
    <row r="28">
      <c r="A28" s="30">
        <f t="shared" si="2"/>
        <v>23</v>
      </c>
      <c r="B28" s="19" t="s">
        <v>118</v>
      </c>
      <c r="C28" s="19" t="s">
        <v>119</v>
      </c>
      <c r="D28" s="24">
        <v>3.0</v>
      </c>
      <c r="E28" s="26">
        <v>8.0</v>
      </c>
      <c r="F28" s="26">
        <v>3.0</v>
      </c>
      <c r="G28" s="26">
        <v>5.0</v>
      </c>
      <c r="H28" s="27">
        <v>5.0</v>
      </c>
      <c r="I28" s="23">
        <f t="shared" si="1"/>
        <v>24</v>
      </c>
    </row>
    <row r="29">
      <c r="A29" s="30">
        <f t="shared" si="2"/>
        <v>24</v>
      </c>
      <c r="B29" s="19" t="s">
        <v>123</v>
      </c>
      <c r="C29" s="19" t="s">
        <v>124</v>
      </c>
      <c r="D29" s="24">
        <v>3.0</v>
      </c>
      <c r="E29" s="26">
        <v>3.0</v>
      </c>
      <c r="F29" s="26">
        <v>2.0</v>
      </c>
      <c r="G29" s="32"/>
      <c r="H29" s="27">
        <v>7.0</v>
      </c>
      <c r="I29" s="23">
        <f t="shared" si="1"/>
        <v>15</v>
      </c>
    </row>
    <row r="30">
      <c r="A30" s="30">
        <f t="shared" si="2"/>
        <v>25</v>
      </c>
      <c r="B30" s="19" t="s">
        <v>125</v>
      </c>
      <c r="C30" s="19" t="s">
        <v>127</v>
      </c>
      <c r="D30" s="24">
        <v>2.0</v>
      </c>
      <c r="E30" s="26">
        <v>3.0</v>
      </c>
      <c r="F30" s="26">
        <v>2.0</v>
      </c>
      <c r="G30" s="26">
        <v>1.0</v>
      </c>
      <c r="H30" s="27">
        <v>7.0</v>
      </c>
      <c r="I30" s="23">
        <f t="shared" si="1"/>
        <v>15</v>
      </c>
    </row>
    <row r="31">
      <c r="A31" s="30">
        <f t="shared" si="2"/>
        <v>26</v>
      </c>
      <c r="B31" s="19" t="s">
        <v>129</v>
      </c>
      <c r="C31" s="19" t="s">
        <v>130</v>
      </c>
      <c r="D31" s="24">
        <v>6.0</v>
      </c>
      <c r="E31" s="26">
        <v>6.0</v>
      </c>
      <c r="F31" s="26">
        <v>2.0</v>
      </c>
      <c r="G31" s="26">
        <v>6.0</v>
      </c>
      <c r="H31" s="27">
        <v>7.0</v>
      </c>
      <c r="I31" s="23">
        <f t="shared" si="1"/>
        <v>27</v>
      </c>
    </row>
    <row r="32">
      <c r="A32" s="30">
        <f t="shared" si="2"/>
        <v>27</v>
      </c>
      <c r="B32" s="19" t="s">
        <v>133</v>
      </c>
      <c r="C32" s="19" t="s">
        <v>134</v>
      </c>
      <c r="D32" s="24">
        <v>4.0</v>
      </c>
      <c r="E32" s="26">
        <v>3.0</v>
      </c>
      <c r="F32" s="26">
        <v>3.0</v>
      </c>
      <c r="G32" s="26">
        <v>6.0</v>
      </c>
      <c r="H32" s="27">
        <v>10.0</v>
      </c>
      <c r="I32" s="23">
        <f t="shared" si="1"/>
        <v>26</v>
      </c>
    </row>
    <row r="33">
      <c r="A33" s="30">
        <f t="shared" si="2"/>
        <v>28</v>
      </c>
      <c r="B33" s="19" t="s">
        <v>137</v>
      </c>
      <c r="C33" s="19" t="s">
        <v>139</v>
      </c>
      <c r="D33" s="24">
        <v>5.0</v>
      </c>
      <c r="E33" s="26">
        <v>4.0</v>
      </c>
      <c r="F33" s="26">
        <v>2.0</v>
      </c>
      <c r="G33" s="26">
        <v>5.0</v>
      </c>
      <c r="H33" s="27">
        <v>5.0</v>
      </c>
      <c r="I33" s="23">
        <f t="shared" si="1"/>
        <v>21</v>
      </c>
    </row>
    <row r="34">
      <c r="A34" s="30">
        <f t="shared" si="2"/>
        <v>29</v>
      </c>
      <c r="B34" s="19" t="s">
        <v>141</v>
      </c>
      <c r="C34" s="19" t="s">
        <v>142</v>
      </c>
      <c r="D34" s="24">
        <v>3.0</v>
      </c>
      <c r="E34" s="26">
        <v>3.0</v>
      </c>
      <c r="F34" s="26">
        <v>3.0</v>
      </c>
      <c r="G34" s="26">
        <v>6.0</v>
      </c>
      <c r="H34" s="27">
        <v>9.0</v>
      </c>
      <c r="I34" s="23">
        <f t="shared" si="1"/>
        <v>24</v>
      </c>
    </row>
    <row r="35">
      <c r="A35" s="30">
        <f t="shared" si="2"/>
        <v>30</v>
      </c>
      <c r="B35" s="19" t="s">
        <v>146</v>
      </c>
      <c r="C35" s="19" t="s">
        <v>147</v>
      </c>
      <c r="D35" s="38"/>
      <c r="E35" s="32"/>
      <c r="F35" s="32"/>
      <c r="G35" s="32"/>
      <c r="H35" s="46"/>
      <c r="I35" s="23">
        <f t="shared" si="1"/>
        <v>0</v>
      </c>
    </row>
    <row r="36">
      <c r="A36" s="30">
        <f t="shared" si="2"/>
        <v>31</v>
      </c>
      <c r="B36" s="19" t="s">
        <v>150</v>
      </c>
      <c r="C36" s="19" t="s">
        <v>151</v>
      </c>
      <c r="D36" s="24">
        <v>6.0</v>
      </c>
      <c r="E36" s="26">
        <v>8.0</v>
      </c>
      <c r="F36" s="26">
        <v>4.0</v>
      </c>
      <c r="G36" s="26">
        <v>6.0</v>
      </c>
      <c r="H36" s="27">
        <v>11.0</v>
      </c>
      <c r="I36" s="23">
        <f t="shared" si="1"/>
        <v>35</v>
      </c>
    </row>
    <row r="37">
      <c r="A37" s="30">
        <f t="shared" si="2"/>
        <v>32</v>
      </c>
      <c r="B37" s="19" t="s">
        <v>152</v>
      </c>
      <c r="C37" s="19" t="s">
        <v>153</v>
      </c>
      <c r="D37" s="24">
        <v>3.0</v>
      </c>
      <c r="E37" s="26">
        <v>3.0</v>
      </c>
      <c r="F37" s="26">
        <v>2.0</v>
      </c>
      <c r="G37" s="26">
        <v>6.0</v>
      </c>
      <c r="H37" s="27">
        <v>8.0</v>
      </c>
      <c r="I37" s="23">
        <f t="shared" si="1"/>
        <v>22</v>
      </c>
    </row>
    <row r="38">
      <c r="A38" s="30">
        <f t="shared" si="2"/>
        <v>33</v>
      </c>
      <c r="B38" s="19" t="s">
        <v>156</v>
      </c>
      <c r="C38" s="19" t="s">
        <v>157</v>
      </c>
      <c r="D38" s="38"/>
      <c r="E38" s="32"/>
      <c r="F38" s="32"/>
      <c r="G38" s="32"/>
      <c r="H38" s="46"/>
      <c r="I38" s="23">
        <f t="shared" si="1"/>
        <v>0</v>
      </c>
    </row>
    <row r="39">
      <c r="A39" s="30">
        <f t="shared" si="2"/>
        <v>34</v>
      </c>
      <c r="B39" s="19" t="s">
        <v>160</v>
      </c>
      <c r="C39" s="19" t="s">
        <v>161</v>
      </c>
      <c r="D39" s="38"/>
      <c r="E39" s="32"/>
      <c r="F39" s="32"/>
      <c r="G39" s="32"/>
      <c r="H39" s="46"/>
      <c r="I39" s="23">
        <f t="shared" si="1"/>
        <v>0</v>
      </c>
    </row>
    <row r="40">
      <c r="A40" s="30">
        <f t="shared" si="2"/>
        <v>35</v>
      </c>
      <c r="B40" s="19" t="s">
        <v>163</v>
      </c>
      <c r="C40" s="19" t="s">
        <v>165</v>
      </c>
      <c r="D40" s="24">
        <v>3.0</v>
      </c>
      <c r="E40" s="26">
        <v>3.0</v>
      </c>
      <c r="F40" s="26">
        <v>3.0</v>
      </c>
      <c r="G40" s="26">
        <v>6.0</v>
      </c>
      <c r="H40" s="27">
        <v>6.0</v>
      </c>
      <c r="I40" s="23">
        <f t="shared" si="1"/>
        <v>21</v>
      </c>
    </row>
    <row r="41">
      <c r="A41" s="30">
        <f t="shared" si="2"/>
        <v>36</v>
      </c>
      <c r="B41" s="19" t="s">
        <v>166</v>
      </c>
      <c r="C41" s="19" t="s">
        <v>167</v>
      </c>
      <c r="D41" s="24">
        <v>5.0</v>
      </c>
      <c r="E41" s="26">
        <v>4.0</v>
      </c>
      <c r="F41" s="26">
        <v>2.0</v>
      </c>
      <c r="G41" s="26">
        <v>6.0</v>
      </c>
      <c r="H41" s="27">
        <v>8.0</v>
      </c>
      <c r="I41" s="23">
        <f t="shared" si="1"/>
        <v>25</v>
      </c>
    </row>
    <row r="42">
      <c r="A42" s="30">
        <f t="shared" si="2"/>
        <v>37</v>
      </c>
      <c r="B42" s="19" t="s">
        <v>170</v>
      </c>
      <c r="C42" s="19" t="s">
        <v>171</v>
      </c>
      <c r="D42" s="24">
        <v>6.0</v>
      </c>
      <c r="E42" s="26">
        <v>8.0</v>
      </c>
      <c r="F42" s="26">
        <v>3.0</v>
      </c>
      <c r="G42" s="26">
        <v>6.0</v>
      </c>
      <c r="H42" s="27">
        <v>8.0</v>
      </c>
      <c r="I42" s="23">
        <f t="shared" si="1"/>
        <v>31</v>
      </c>
    </row>
    <row r="43">
      <c r="A43" s="30">
        <f t="shared" si="2"/>
        <v>38</v>
      </c>
      <c r="B43" s="19" t="s">
        <v>174</v>
      </c>
      <c r="C43" s="19" t="s">
        <v>175</v>
      </c>
      <c r="D43" s="38"/>
      <c r="E43" s="32"/>
      <c r="F43" s="32"/>
      <c r="G43" s="32"/>
      <c r="H43" s="46"/>
      <c r="I43" s="23">
        <f t="shared" si="1"/>
        <v>0</v>
      </c>
    </row>
    <row r="44">
      <c r="A44" s="30">
        <f t="shared" si="2"/>
        <v>39</v>
      </c>
      <c r="B44" s="19" t="s">
        <v>176</v>
      </c>
      <c r="C44" s="19" t="s">
        <v>178</v>
      </c>
      <c r="D44" s="24">
        <v>3.0</v>
      </c>
      <c r="E44" s="26">
        <v>3.0</v>
      </c>
      <c r="F44" s="26">
        <v>2.0</v>
      </c>
      <c r="G44" s="26">
        <v>4.0</v>
      </c>
      <c r="H44" s="27">
        <v>9.0</v>
      </c>
      <c r="I44" s="23">
        <f t="shared" si="1"/>
        <v>21</v>
      </c>
    </row>
    <row r="45">
      <c r="A45" s="30">
        <f t="shared" si="2"/>
        <v>40</v>
      </c>
      <c r="B45" s="19" t="s">
        <v>180</v>
      </c>
      <c r="C45" s="19" t="s">
        <v>181</v>
      </c>
      <c r="D45" s="24">
        <v>5.0</v>
      </c>
      <c r="E45" s="26">
        <v>6.0</v>
      </c>
      <c r="F45" s="26">
        <v>2.0</v>
      </c>
      <c r="G45" s="26">
        <v>6.0</v>
      </c>
      <c r="H45" s="27">
        <v>6.0</v>
      </c>
      <c r="I45" s="23">
        <f t="shared" si="1"/>
        <v>25</v>
      </c>
    </row>
    <row r="46">
      <c r="I46" s="52">
        <f>COUNTIF(I6:I45,"&gt;0")</f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3.0"/>
    <col customWidth="1" min="3" max="3" width="29.43"/>
  </cols>
  <sheetData>
    <row r="1">
      <c r="A1" s="59"/>
      <c r="B1" s="60"/>
      <c r="C1" s="16"/>
      <c r="D1" s="59"/>
      <c r="E1" s="59"/>
      <c r="F1" s="59"/>
      <c r="G1" s="59"/>
      <c r="H1" s="59"/>
      <c r="I1" s="59"/>
      <c r="J1" s="59"/>
    </row>
    <row r="2">
      <c r="A2" s="59"/>
      <c r="B2" s="60"/>
      <c r="C2" s="16"/>
      <c r="D2" s="59"/>
      <c r="E2" s="59"/>
      <c r="F2" s="59"/>
      <c r="G2" s="59"/>
      <c r="H2" s="59"/>
      <c r="I2" s="59"/>
      <c r="J2" s="59"/>
    </row>
    <row r="3">
      <c r="A3" s="59"/>
      <c r="B3" s="60"/>
      <c r="C3" s="16"/>
      <c r="D3" s="59"/>
      <c r="E3" s="59"/>
      <c r="F3" s="59"/>
      <c r="G3" s="59"/>
      <c r="H3" s="59"/>
      <c r="I3" s="59"/>
      <c r="J3" s="59"/>
    </row>
    <row r="4">
      <c r="A4" s="59"/>
      <c r="B4" s="61" t="s">
        <v>209</v>
      </c>
      <c r="C4" s="16"/>
      <c r="D4" s="59"/>
      <c r="E4" s="59"/>
      <c r="F4" s="59"/>
      <c r="G4" s="59"/>
      <c r="H4" s="59"/>
      <c r="I4" s="59"/>
      <c r="J4" s="59"/>
    </row>
    <row r="5">
      <c r="A5" s="59"/>
      <c r="B5" s="60"/>
      <c r="C5" s="16"/>
      <c r="D5" s="59"/>
      <c r="E5" s="59"/>
      <c r="F5" s="59"/>
      <c r="G5" s="59"/>
      <c r="H5" s="59"/>
      <c r="I5" s="59"/>
      <c r="J5" s="59"/>
    </row>
    <row r="6">
      <c r="A6" s="59"/>
      <c r="B6" s="60"/>
      <c r="C6" s="16"/>
      <c r="D6" s="59"/>
      <c r="E6" s="59"/>
      <c r="F6" s="59"/>
      <c r="G6" s="59"/>
      <c r="H6" s="59"/>
      <c r="I6" s="59"/>
      <c r="J6" s="59"/>
    </row>
    <row r="7">
      <c r="A7" s="62" t="s">
        <v>210</v>
      </c>
      <c r="B7" s="62" t="s">
        <v>5</v>
      </c>
      <c r="C7" s="63" t="s">
        <v>6</v>
      </c>
      <c r="D7" s="64" t="s">
        <v>211</v>
      </c>
      <c r="E7" s="64" t="s">
        <v>212</v>
      </c>
      <c r="F7" s="64" t="s">
        <v>213</v>
      </c>
      <c r="G7" s="64" t="s">
        <v>214</v>
      </c>
      <c r="H7" s="64" t="s">
        <v>215</v>
      </c>
      <c r="I7" s="64" t="s">
        <v>216</v>
      </c>
      <c r="J7" s="64" t="s">
        <v>217</v>
      </c>
    </row>
    <row r="8">
      <c r="A8" s="17">
        <v>1.0</v>
      </c>
      <c r="B8" s="18" t="s">
        <v>29</v>
      </c>
      <c r="C8" s="19" t="s">
        <v>30</v>
      </c>
      <c r="D8" s="65">
        <f>'Quiz Marks'!M6</f>
        <v>13.16666667</v>
      </c>
      <c r="E8" s="66">
        <v>13.3</v>
      </c>
      <c r="F8" s="65">
        <f>'Mid Marks'!I6</f>
        <v>8.333333333</v>
      </c>
      <c r="G8" s="48">
        <f>'Final Marks'!I6</f>
        <v>15</v>
      </c>
      <c r="H8" s="65">
        <f t="shared" ref="H8:H30" si="1">SUM(D8:G8)</f>
        <v>49.8</v>
      </c>
      <c r="I8" s="67">
        <f t="shared" ref="I8:I47" si="2">IF(AND(H8&gt;=96.5,H8&lt;97),H8,ROUND(H8,0))</f>
        <v>50</v>
      </c>
      <c r="J8" s="68" t="str">
        <f t="shared" ref="J8:J47" si="3">IF(I8&lt;65,IF(I8&lt;55,IF(I8&lt;52,IF(I8&lt;50,"F","D-"),"D"),IF(I8&lt;57,"D+",IF(I8&lt;60,"C-","C"))),IF(I8&lt;75,IF(I8&lt;70,"C+","B-"),IF(I8&lt;85,IF(I8&lt;80,"B","B+"),IF(I8&lt;90,"A-",IF(I8&lt;97,"A","A+")))))</f>
        <v>D-</v>
      </c>
    </row>
    <row r="9">
      <c r="A9" s="30">
        <f t="shared" ref="A9:A47" si="4">A8+1</f>
        <v>2</v>
      </c>
      <c r="B9" s="19" t="s">
        <v>34</v>
      </c>
      <c r="C9" s="19" t="s">
        <v>35</v>
      </c>
      <c r="D9" s="65">
        <f>'Quiz Marks'!M7</f>
        <v>10.41666667</v>
      </c>
      <c r="E9" s="66">
        <v>9.5</v>
      </c>
      <c r="F9" s="65">
        <f>'Mid Marks'!I7</f>
        <v>13.33333333</v>
      </c>
      <c r="G9" s="48">
        <f>'Final Marks'!I7</f>
        <v>22</v>
      </c>
      <c r="H9" s="65">
        <f t="shared" si="1"/>
        <v>55.25</v>
      </c>
      <c r="I9" s="67">
        <f t="shared" si="2"/>
        <v>55</v>
      </c>
      <c r="J9" s="68" t="str">
        <f t="shared" si="3"/>
        <v>D+</v>
      </c>
    </row>
    <row r="10">
      <c r="A10" s="30">
        <f t="shared" si="4"/>
        <v>3</v>
      </c>
      <c r="B10" s="19" t="s">
        <v>36</v>
      </c>
      <c r="C10" s="19" t="s">
        <v>37</v>
      </c>
      <c r="D10" s="65">
        <f>'Quiz Marks'!M8</f>
        <v>3.416666667</v>
      </c>
      <c r="E10" s="66">
        <v>14.2</v>
      </c>
      <c r="F10" s="65">
        <f>'Mid Marks'!I8</f>
        <v>8.333333333</v>
      </c>
      <c r="G10" s="48">
        <f>'Final Marks'!I8</f>
        <v>9</v>
      </c>
      <c r="H10" s="65">
        <f t="shared" si="1"/>
        <v>34.95</v>
      </c>
      <c r="I10" s="67">
        <f t="shared" si="2"/>
        <v>35</v>
      </c>
      <c r="J10" s="68" t="str">
        <f t="shared" si="3"/>
        <v>F</v>
      </c>
    </row>
    <row r="11">
      <c r="A11" s="30">
        <f t="shared" si="4"/>
        <v>4</v>
      </c>
      <c r="B11" s="19" t="s">
        <v>38</v>
      </c>
      <c r="C11" s="19" t="s">
        <v>39</v>
      </c>
      <c r="D11" s="65">
        <f>'Quiz Marks'!M9</f>
        <v>13.41666667</v>
      </c>
      <c r="E11" s="66">
        <v>23.2</v>
      </c>
      <c r="F11" s="65">
        <f>'Mid Marks'!I9</f>
        <v>8.333333333</v>
      </c>
      <c r="G11" s="48">
        <f>'Final Marks'!I9</f>
        <v>15</v>
      </c>
      <c r="H11" s="65">
        <f t="shared" si="1"/>
        <v>59.95</v>
      </c>
      <c r="I11" s="67">
        <f t="shared" si="2"/>
        <v>60</v>
      </c>
      <c r="J11" s="68" t="str">
        <f t="shared" si="3"/>
        <v>C</v>
      </c>
    </row>
    <row r="12">
      <c r="A12" s="30">
        <f t="shared" si="4"/>
        <v>5</v>
      </c>
      <c r="B12" s="19" t="s">
        <v>41</v>
      </c>
      <c r="C12" s="19" t="s">
        <v>42</v>
      </c>
      <c r="D12" s="65">
        <f>'Quiz Marks'!M10</f>
        <v>11.25</v>
      </c>
      <c r="E12" s="66">
        <v>16.9</v>
      </c>
      <c r="F12" s="65">
        <f>'Mid Marks'!I10</f>
        <v>17.5</v>
      </c>
      <c r="G12" s="48">
        <f>'Final Marks'!I10</f>
        <v>16</v>
      </c>
      <c r="H12" s="65">
        <f t="shared" si="1"/>
        <v>61.65</v>
      </c>
      <c r="I12" s="67">
        <f t="shared" si="2"/>
        <v>62</v>
      </c>
      <c r="J12" s="68" t="str">
        <f t="shared" si="3"/>
        <v>C</v>
      </c>
    </row>
    <row r="13">
      <c r="A13" s="30">
        <f t="shared" si="4"/>
        <v>6</v>
      </c>
      <c r="B13" s="19" t="s">
        <v>49</v>
      </c>
      <c r="C13" s="19" t="s">
        <v>51</v>
      </c>
      <c r="D13" s="65">
        <f>'Quiz Marks'!M11</f>
        <v>12.08333333</v>
      </c>
      <c r="E13" s="66">
        <v>19.9</v>
      </c>
      <c r="F13" s="65">
        <f>'Mid Marks'!I11</f>
        <v>15.83333333</v>
      </c>
      <c r="G13" s="48">
        <f>'Final Marks'!I11</f>
        <v>17</v>
      </c>
      <c r="H13" s="65">
        <f t="shared" si="1"/>
        <v>64.81666667</v>
      </c>
      <c r="I13" s="67">
        <f t="shared" si="2"/>
        <v>65</v>
      </c>
      <c r="J13" s="68" t="str">
        <f t="shared" si="3"/>
        <v>C+</v>
      </c>
    </row>
    <row r="14">
      <c r="A14" s="30">
        <f t="shared" si="4"/>
        <v>7</v>
      </c>
      <c r="B14" s="19" t="s">
        <v>52</v>
      </c>
      <c r="C14" s="19" t="s">
        <v>53</v>
      </c>
      <c r="D14" s="65">
        <f>'Quiz Marks'!M12</f>
        <v>10.08333333</v>
      </c>
      <c r="E14" s="66">
        <v>17.1</v>
      </c>
      <c r="F14" s="65">
        <f>'Mid Marks'!I12</f>
        <v>12.5</v>
      </c>
      <c r="G14" s="48">
        <f>'Final Marks'!I12</f>
        <v>13</v>
      </c>
      <c r="H14" s="65">
        <f t="shared" si="1"/>
        <v>52.68333333</v>
      </c>
      <c r="I14" s="67">
        <f t="shared" si="2"/>
        <v>53</v>
      </c>
      <c r="J14" s="68" t="str">
        <f t="shared" si="3"/>
        <v>D</v>
      </c>
    </row>
    <row r="15">
      <c r="A15" s="30">
        <f t="shared" si="4"/>
        <v>8</v>
      </c>
      <c r="B15" s="19" t="s">
        <v>55</v>
      </c>
      <c r="C15" s="19" t="s">
        <v>56</v>
      </c>
      <c r="D15" s="65">
        <f>'Quiz Marks'!M13</f>
        <v>9.5</v>
      </c>
      <c r="E15" s="66">
        <v>13.2</v>
      </c>
      <c r="F15" s="65">
        <f>'Mid Marks'!I13</f>
        <v>12.5</v>
      </c>
      <c r="G15" s="48">
        <f>'Final Marks'!I13</f>
        <v>15</v>
      </c>
      <c r="H15" s="65">
        <f t="shared" si="1"/>
        <v>50.2</v>
      </c>
      <c r="I15" s="67">
        <f t="shared" si="2"/>
        <v>50</v>
      </c>
      <c r="J15" s="68" t="str">
        <f t="shared" si="3"/>
        <v>D-</v>
      </c>
    </row>
    <row r="16">
      <c r="A16" s="30">
        <f t="shared" si="4"/>
        <v>9</v>
      </c>
      <c r="B16" s="19" t="s">
        <v>64</v>
      </c>
      <c r="C16" s="19" t="s">
        <v>65</v>
      </c>
      <c r="D16" s="65">
        <f>'Quiz Marks'!M14</f>
        <v>13.66666667</v>
      </c>
      <c r="E16" s="66">
        <v>23.1</v>
      </c>
      <c r="F16" s="65">
        <f>'Mid Marks'!I14</f>
        <v>14.16666667</v>
      </c>
      <c r="G16" s="48">
        <f>'Final Marks'!I14</f>
        <v>24</v>
      </c>
      <c r="H16" s="65">
        <f t="shared" si="1"/>
        <v>74.93333333</v>
      </c>
      <c r="I16" s="67">
        <f t="shared" si="2"/>
        <v>75</v>
      </c>
      <c r="J16" s="68" t="str">
        <f t="shared" si="3"/>
        <v>B</v>
      </c>
    </row>
    <row r="17">
      <c r="A17" s="30">
        <f t="shared" si="4"/>
        <v>10</v>
      </c>
      <c r="B17" s="19" t="s">
        <v>66</v>
      </c>
      <c r="C17" s="19" t="s">
        <v>67</v>
      </c>
      <c r="D17" s="65">
        <f>'Quiz Marks'!M15</f>
        <v>13.33333333</v>
      </c>
      <c r="E17" s="66">
        <v>24.0</v>
      </c>
      <c r="F17" s="65">
        <f>'Mid Marks'!I15</f>
        <v>16.66666667</v>
      </c>
      <c r="G17" s="48">
        <f>'Final Marks'!I15</f>
        <v>26</v>
      </c>
      <c r="H17" s="65">
        <f t="shared" si="1"/>
        <v>80</v>
      </c>
      <c r="I17" s="67">
        <f t="shared" si="2"/>
        <v>80</v>
      </c>
      <c r="J17" s="68" t="str">
        <f t="shared" si="3"/>
        <v>B+</v>
      </c>
    </row>
    <row r="18">
      <c r="A18" s="30">
        <f t="shared" si="4"/>
        <v>11</v>
      </c>
      <c r="B18" s="19" t="s">
        <v>70</v>
      </c>
      <c r="C18" s="19" t="s">
        <v>71</v>
      </c>
      <c r="D18" s="65">
        <f>'Quiz Marks'!M16</f>
        <v>1</v>
      </c>
      <c r="E18" s="66">
        <v>0.0</v>
      </c>
      <c r="F18" s="65">
        <f>'Mid Marks'!I16</f>
        <v>8.333333333</v>
      </c>
      <c r="G18" s="48">
        <f>'Final Marks'!I16</f>
        <v>0</v>
      </c>
      <c r="H18" s="65">
        <f t="shared" si="1"/>
        <v>9.333333333</v>
      </c>
      <c r="I18" s="67">
        <f t="shared" si="2"/>
        <v>9</v>
      </c>
      <c r="J18" s="68" t="str">
        <f t="shared" si="3"/>
        <v>F</v>
      </c>
    </row>
    <row r="19">
      <c r="A19" s="30">
        <f t="shared" si="4"/>
        <v>12</v>
      </c>
      <c r="B19" s="19" t="s">
        <v>76</v>
      </c>
      <c r="C19" s="19" t="s">
        <v>77</v>
      </c>
      <c r="D19" s="65">
        <f>'Quiz Marks'!M17</f>
        <v>10.91666667</v>
      </c>
      <c r="E19" s="66">
        <v>17.1</v>
      </c>
      <c r="F19" s="65">
        <f>'Mid Marks'!I17</f>
        <v>10</v>
      </c>
      <c r="G19" s="48">
        <f>'Final Marks'!I17</f>
        <v>17</v>
      </c>
      <c r="H19" s="65">
        <f t="shared" si="1"/>
        <v>55.01666667</v>
      </c>
      <c r="I19" s="67">
        <f t="shared" si="2"/>
        <v>55</v>
      </c>
      <c r="J19" s="68" t="str">
        <f t="shared" si="3"/>
        <v>D+</v>
      </c>
    </row>
    <row r="20">
      <c r="A20" s="30">
        <f t="shared" si="4"/>
        <v>13</v>
      </c>
      <c r="B20" s="19" t="s">
        <v>80</v>
      </c>
      <c r="C20" s="19" t="s">
        <v>81</v>
      </c>
      <c r="D20" s="65">
        <f>'Quiz Marks'!M18</f>
        <v>12.16666667</v>
      </c>
      <c r="E20" s="66">
        <v>16.0</v>
      </c>
      <c r="F20" s="65">
        <f>'Mid Marks'!I18</f>
        <v>10.83333333</v>
      </c>
      <c r="G20" s="48">
        <f>'Final Marks'!I18</f>
        <v>21</v>
      </c>
      <c r="H20" s="65">
        <f t="shared" si="1"/>
        <v>60</v>
      </c>
      <c r="I20" s="67">
        <f t="shared" si="2"/>
        <v>60</v>
      </c>
      <c r="J20" s="68" t="str">
        <f t="shared" si="3"/>
        <v>C</v>
      </c>
    </row>
    <row r="21">
      <c r="A21" s="30">
        <f t="shared" si="4"/>
        <v>14</v>
      </c>
      <c r="B21" s="19" t="s">
        <v>84</v>
      </c>
      <c r="C21" s="19" t="s">
        <v>85</v>
      </c>
      <c r="D21" s="65">
        <f>'Quiz Marks'!M19</f>
        <v>10.5</v>
      </c>
      <c r="E21" s="66">
        <v>10.3</v>
      </c>
      <c r="F21" s="65">
        <f>'Mid Marks'!I19</f>
        <v>11.66666667</v>
      </c>
      <c r="G21" s="48">
        <f>'Final Marks'!I19</f>
        <v>24</v>
      </c>
      <c r="H21" s="65">
        <f t="shared" si="1"/>
        <v>56.46666667</v>
      </c>
      <c r="I21" s="67">
        <f t="shared" si="2"/>
        <v>56</v>
      </c>
      <c r="J21" s="68" t="str">
        <f t="shared" si="3"/>
        <v>D+</v>
      </c>
    </row>
    <row r="22">
      <c r="A22" s="30">
        <f t="shared" si="4"/>
        <v>15</v>
      </c>
      <c r="B22" s="19" t="s">
        <v>88</v>
      </c>
      <c r="C22" s="19" t="s">
        <v>89</v>
      </c>
      <c r="D22" s="65">
        <f>'Quiz Marks'!M20</f>
        <v>10.33333333</v>
      </c>
      <c r="E22" s="66">
        <v>22.8</v>
      </c>
      <c r="F22" s="65">
        <f>'Mid Marks'!I20</f>
        <v>19.16666667</v>
      </c>
      <c r="G22" s="48">
        <f>'Final Marks'!I20</f>
        <v>28</v>
      </c>
      <c r="H22" s="65">
        <f t="shared" si="1"/>
        <v>80.3</v>
      </c>
      <c r="I22" s="67">
        <f t="shared" si="2"/>
        <v>80</v>
      </c>
      <c r="J22" s="68" t="str">
        <f t="shared" si="3"/>
        <v>B+</v>
      </c>
    </row>
    <row r="23">
      <c r="A23" s="30">
        <f t="shared" si="4"/>
        <v>16</v>
      </c>
      <c r="B23" s="19" t="s">
        <v>92</v>
      </c>
      <c r="C23" s="19" t="s">
        <v>93</v>
      </c>
      <c r="D23" s="65">
        <f>'Quiz Marks'!M21</f>
        <v>10.5</v>
      </c>
      <c r="E23" s="66">
        <v>11.1</v>
      </c>
      <c r="F23" s="65">
        <f>'Mid Marks'!I21</f>
        <v>14.16666667</v>
      </c>
      <c r="G23" s="48">
        <f>'Final Marks'!I21</f>
        <v>24</v>
      </c>
      <c r="H23" s="65">
        <f t="shared" si="1"/>
        <v>59.76666667</v>
      </c>
      <c r="I23" s="67">
        <f t="shared" si="2"/>
        <v>60</v>
      </c>
      <c r="J23" s="68" t="str">
        <f t="shared" si="3"/>
        <v>C</v>
      </c>
    </row>
    <row r="24">
      <c r="A24" s="30">
        <f t="shared" si="4"/>
        <v>17</v>
      </c>
      <c r="B24" s="19" t="s">
        <v>96</v>
      </c>
      <c r="C24" s="19" t="s">
        <v>98</v>
      </c>
      <c r="D24" s="65">
        <f>'Quiz Marks'!M22</f>
        <v>10</v>
      </c>
      <c r="E24" s="66">
        <v>22.0</v>
      </c>
      <c r="F24" s="65">
        <f>'Mid Marks'!I22</f>
        <v>13.33333333</v>
      </c>
      <c r="G24" s="48">
        <f>'Final Marks'!I22</f>
        <v>20</v>
      </c>
      <c r="H24" s="65">
        <f t="shared" si="1"/>
        <v>65.33333333</v>
      </c>
      <c r="I24" s="67">
        <f t="shared" si="2"/>
        <v>65</v>
      </c>
      <c r="J24" s="68" t="str">
        <f t="shared" si="3"/>
        <v>C+</v>
      </c>
    </row>
    <row r="25">
      <c r="A25" s="30">
        <f t="shared" si="4"/>
        <v>18</v>
      </c>
      <c r="B25" s="19" t="s">
        <v>99</v>
      </c>
      <c r="C25" s="19" t="s">
        <v>100</v>
      </c>
      <c r="D25" s="65">
        <f>'Quiz Marks'!M23</f>
        <v>1.5</v>
      </c>
      <c r="E25" s="66">
        <v>12.0</v>
      </c>
      <c r="F25" s="65">
        <f>'Mid Marks'!I23</f>
        <v>10.83333333</v>
      </c>
      <c r="G25" s="48">
        <f>'Final Marks'!I23</f>
        <v>0</v>
      </c>
      <c r="H25" s="65">
        <f t="shared" si="1"/>
        <v>24.33333333</v>
      </c>
      <c r="I25" s="67">
        <f t="shared" si="2"/>
        <v>24</v>
      </c>
      <c r="J25" s="68" t="str">
        <f t="shared" si="3"/>
        <v>F</v>
      </c>
    </row>
    <row r="26">
      <c r="A26" s="30">
        <f t="shared" si="4"/>
        <v>19</v>
      </c>
      <c r="B26" s="19" t="s">
        <v>103</v>
      </c>
      <c r="C26" s="19" t="s">
        <v>104</v>
      </c>
      <c r="D26" s="65">
        <f>'Quiz Marks'!M24</f>
        <v>11.91666667</v>
      </c>
      <c r="E26" s="66">
        <v>19.6</v>
      </c>
      <c r="F26" s="65">
        <f>'Mid Marks'!I24</f>
        <v>9.166666667</v>
      </c>
      <c r="G26" s="48">
        <f>'Final Marks'!I24</f>
        <v>14</v>
      </c>
      <c r="H26" s="65">
        <f t="shared" si="1"/>
        <v>54.68333333</v>
      </c>
      <c r="I26" s="67">
        <f t="shared" si="2"/>
        <v>55</v>
      </c>
      <c r="J26" s="68" t="str">
        <f t="shared" si="3"/>
        <v>D+</v>
      </c>
    </row>
    <row r="27">
      <c r="A27" s="30">
        <f t="shared" si="4"/>
        <v>20</v>
      </c>
      <c r="B27" s="50">
        <f>B26+1</f>
        <v>24201367</v>
      </c>
      <c r="C27" s="19" t="s">
        <v>109</v>
      </c>
      <c r="D27" s="65">
        <f>'Quiz Marks'!M25</f>
        <v>12.91666667</v>
      </c>
      <c r="E27" s="66">
        <v>16.5</v>
      </c>
      <c r="F27" s="65">
        <f>'Mid Marks'!I25</f>
        <v>16.66666667</v>
      </c>
      <c r="G27" s="48">
        <f>'Final Marks'!I25</f>
        <v>24</v>
      </c>
      <c r="H27" s="65">
        <f t="shared" si="1"/>
        <v>70.08333333</v>
      </c>
      <c r="I27" s="67">
        <f t="shared" si="2"/>
        <v>70</v>
      </c>
      <c r="J27" s="68" t="str">
        <f t="shared" si="3"/>
        <v>B-</v>
      </c>
    </row>
    <row r="28">
      <c r="A28" s="30">
        <f t="shared" si="4"/>
        <v>21</v>
      </c>
      <c r="B28" s="19" t="s">
        <v>110</v>
      </c>
      <c r="C28" s="19" t="s">
        <v>112</v>
      </c>
      <c r="D28" s="65">
        <f>'Quiz Marks'!M26</f>
        <v>11.08333333</v>
      </c>
      <c r="E28" s="66">
        <v>20.8</v>
      </c>
      <c r="F28" s="65">
        <f>'Mid Marks'!I26</f>
        <v>15</v>
      </c>
      <c r="G28" s="48">
        <f>'Final Marks'!I26</f>
        <v>18</v>
      </c>
      <c r="H28" s="65">
        <f t="shared" si="1"/>
        <v>64.88333333</v>
      </c>
      <c r="I28" s="67">
        <f t="shared" si="2"/>
        <v>65</v>
      </c>
      <c r="J28" s="68" t="str">
        <f t="shared" si="3"/>
        <v>C+</v>
      </c>
    </row>
    <row r="29">
      <c r="A29" s="30">
        <f t="shared" si="4"/>
        <v>22</v>
      </c>
      <c r="B29" s="19" t="s">
        <v>114</v>
      </c>
      <c r="C29" s="19" t="s">
        <v>115</v>
      </c>
      <c r="D29" s="65">
        <f>'Quiz Marks'!M27</f>
        <v>11.75</v>
      </c>
      <c r="E29" s="66">
        <v>25.0</v>
      </c>
      <c r="F29" s="65">
        <f>'Mid Marks'!I27</f>
        <v>21.66666667</v>
      </c>
      <c r="G29" s="48">
        <f>'Final Marks'!I27</f>
        <v>27</v>
      </c>
      <c r="H29" s="65">
        <f t="shared" si="1"/>
        <v>85.41666667</v>
      </c>
      <c r="I29" s="67">
        <f t="shared" si="2"/>
        <v>85</v>
      </c>
      <c r="J29" s="68" t="str">
        <f t="shared" si="3"/>
        <v>A-</v>
      </c>
    </row>
    <row r="30">
      <c r="A30" s="30">
        <f t="shared" si="4"/>
        <v>23</v>
      </c>
      <c r="B30" s="19" t="s">
        <v>118</v>
      </c>
      <c r="C30" s="19" t="s">
        <v>119</v>
      </c>
      <c r="D30" s="65">
        <f>'Quiz Marks'!M28</f>
        <v>8.666666667</v>
      </c>
      <c r="E30" s="66">
        <v>22.9</v>
      </c>
      <c r="F30" s="65">
        <f>'Mid Marks'!I28</f>
        <v>14.16666667</v>
      </c>
      <c r="G30" s="48">
        <f>'Final Marks'!I28</f>
        <v>24</v>
      </c>
      <c r="H30" s="65">
        <f t="shared" si="1"/>
        <v>69.73333333</v>
      </c>
      <c r="I30" s="67">
        <f t="shared" si="2"/>
        <v>70</v>
      </c>
      <c r="J30" s="68" t="str">
        <f t="shared" si="3"/>
        <v>B-</v>
      </c>
    </row>
    <row r="31">
      <c r="A31" s="30">
        <f t="shared" si="4"/>
        <v>24</v>
      </c>
      <c r="B31" s="19" t="s">
        <v>123</v>
      </c>
      <c r="C31" s="19" t="s">
        <v>124</v>
      </c>
      <c r="D31" s="65">
        <f>'Quiz Marks'!M29</f>
        <v>14.16666667</v>
      </c>
      <c r="E31" s="69" t="s">
        <v>218</v>
      </c>
      <c r="F31" s="65">
        <f>'Mid Marks'!I29</f>
        <v>16.66666667</v>
      </c>
      <c r="G31" s="48">
        <f>'Final Marks'!I29</f>
        <v>15</v>
      </c>
      <c r="H31" s="65">
        <f>SUM(D31:G31)+23.9</f>
        <v>69.73333333</v>
      </c>
      <c r="I31" s="67">
        <f t="shared" si="2"/>
        <v>70</v>
      </c>
      <c r="J31" s="68" t="str">
        <f t="shared" si="3"/>
        <v>B-</v>
      </c>
    </row>
    <row r="32">
      <c r="A32" s="30">
        <f t="shared" si="4"/>
        <v>25</v>
      </c>
      <c r="B32" s="19" t="s">
        <v>125</v>
      </c>
      <c r="C32" s="19" t="s">
        <v>127</v>
      </c>
      <c r="D32" s="65">
        <f>'Quiz Marks'!M30</f>
        <v>10</v>
      </c>
      <c r="E32" s="70">
        <v>22.3</v>
      </c>
      <c r="F32" s="65">
        <f>'Mid Marks'!I30</f>
        <v>17.5</v>
      </c>
      <c r="G32" s="48">
        <f>'Final Marks'!I30</f>
        <v>15</v>
      </c>
      <c r="H32" s="65">
        <f t="shared" ref="H32:H47" si="5">SUM(D32:G32)</f>
        <v>64.8</v>
      </c>
      <c r="I32" s="67">
        <f t="shared" si="2"/>
        <v>65</v>
      </c>
      <c r="J32" s="68" t="str">
        <f t="shared" si="3"/>
        <v>C+</v>
      </c>
    </row>
    <row r="33">
      <c r="A33" s="30">
        <f t="shared" si="4"/>
        <v>26</v>
      </c>
      <c r="B33" s="19" t="s">
        <v>129</v>
      </c>
      <c r="C33" s="19" t="s">
        <v>130</v>
      </c>
      <c r="D33" s="65">
        <f>'Quiz Marks'!M31</f>
        <v>13.66666667</v>
      </c>
      <c r="E33" s="70">
        <v>24.2</v>
      </c>
      <c r="F33" s="65">
        <f>'Mid Marks'!I31</f>
        <v>20</v>
      </c>
      <c r="G33" s="48">
        <f>'Final Marks'!I31</f>
        <v>27</v>
      </c>
      <c r="H33" s="65">
        <f t="shared" si="5"/>
        <v>84.86666667</v>
      </c>
      <c r="I33" s="67">
        <f t="shared" si="2"/>
        <v>85</v>
      </c>
      <c r="J33" s="68" t="str">
        <f t="shared" si="3"/>
        <v>A-</v>
      </c>
    </row>
    <row r="34">
      <c r="A34" s="30">
        <f t="shared" si="4"/>
        <v>27</v>
      </c>
      <c r="B34" s="19" t="s">
        <v>133</v>
      </c>
      <c r="C34" s="19" t="s">
        <v>134</v>
      </c>
      <c r="D34" s="65">
        <f>'Quiz Marks'!M32</f>
        <v>10</v>
      </c>
      <c r="E34" s="70">
        <v>23.8</v>
      </c>
      <c r="F34" s="65">
        <f>'Mid Marks'!I32</f>
        <v>20</v>
      </c>
      <c r="G34" s="48">
        <f>'Final Marks'!I32</f>
        <v>26</v>
      </c>
      <c r="H34" s="65">
        <f t="shared" si="5"/>
        <v>79.8</v>
      </c>
      <c r="I34" s="67">
        <f t="shared" si="2"/>
        <v>80</v>
      </c>
      <c r="J34" s="68" t="str">
        <f t="shared" si="3"/>
        <v>B+</v>
      </c>
    </row>
    <row r="35">
      <c r="A35" s="30">
        <f t="shared" si="4"/>
        <v>28</v>
      </c>
      <c r="B35" s="19" t="s">
        <v>137</v>
      </c>
      <c r="C35" s="19" t="s">
        <v>139</v>
      </c>
      <c r="D35" s="65">
        <f>'Quiz Marks'!M33</f>
        <v>14</v>
      </c>
      <c r="E35" s="70">
        <v>20.6</v>
      </c>
      <c r="F35" s="65">
        <f>'Mid Marks'!I33</f>
        <v>14.16666667</v>
      </c>
      <c r="G35" s="48">
        <f>'Final Marks'!I33</f>
        <v>21</v>
      </c>
      <c r="H35" s="65">
        <f t="shared" si="5"/>
        <v>69.76666667</v>
      </c>
      <c r="I35" s="67">
        <f t="shared" si="2"/>
        <v>70</v>
      </c>
      <c r="J35" s="68" t="str">
        <f t="shared" si="3"/>
        <v>B-</v>
      </c>
    </row>
    <row r="36">
      <c r="A36" s="30">
        <f t="shared" si="4"/>
        <v>29</v>
      </c>
      <c r="B36" s="19" t="s">
        <v>141</v>
      </c>
      <c r="C36" s="19" t="s">
        <v>142</v>
      </c>
      <c r="D36" s="65">
        <f>'Quiz Marks'!M34</f>
        <v>12.5</v>
      </c>
      <c r="E36" s="70">
        <v>15.7</v>
      </c>
      <c r="F36" s="65">
        <f>'Mid Marks'!I34</f>
        <v>17.5</v>
      </c>
      <c r="G36" s="48">
        <f>'Final Marks'!I34</f>
        <v>24</v>
      </c>
      <c r="H36" s="65">
        <f t="shared" si="5"/>
        <v>69.7</v>
      </c>
      <c r="I36" s="67">
        <f t="shared" si="2"/>
        <v>70</v>
      </c>
      <c r="J36" s="68" t="str">
        <f t="shared" si="3"/>
        <v>B-</v>
      </c>
    </row>
    <row r="37">
      <c r="A37" s="30">
        <f t="shared" si="4"/>
        <v>30</v>
      </c>
      <c r="B37" s="19" t="s">
        <v>146</v>
      </c>
      <c r="C37" s="19" t="s">
        <v>147</v>
      </c>
      <c r="D37" s="65">
        <f>'Quiz Marks'!M35</f>
        <v>0</v>
      </c>
      <c r="E37" s="70">
        <v>2.0</v>
      </c>
      <c r="F37" s="65">
        <f>'Mid Marks'!I35</f>
        <v>13.33333333</v>
      </c>
      <c r="G37" s="48">
        <f>'Final Marks'!I35</f>
        <v>0</v>
      </c>
      <c r="H37" s="65">
        <f t="shared" si="5"/>
        <v>15.33333333</v>
      </c>
      <c r="I37" s="67">
        <f t="shared" si="2"/>
        <v>15</v>
      </c>
      <c r="J37" s="68" t="str">
        <f t="shared" si="3"/>
        <v>F</v>
      </c>
    </row>
    <row r="38">
      <c r="A38" s="30">
        <f t="shared" si="4"/>
        <v>31</v>
      </c>
      <c r="B38" s="19" t="s">
        <v>150</v>
      </c>
      <c r="C38" s="19" t="s">
        <v>151</v>
      </c>
      <c r="D38" s="65">
        <f>'Quiz Marks'!M36</f>
        <v>14.66666667</v>
      </c>
      <c r="E38" s="70">
        <v>25.0</v>
      </c>
      <c r="F38" s="65">
        <f>'Mid Marks'!I36</f>
        <v>25</v>
      </c>
      <c r="G38" s="48">
        <f>'Final Marks'!I36</f>
        <v>35</v>
      </c>
      <c r="H38" s="65">
        <f t="shared" si="5"/>
        <v>99.66666667</v>
      </c>
      <c r="I38" s="67">
        <f t="shared" si="2"/>
        <v>100</v>
      </c>
      <c r="J38" s="68" t="str">
        <f t="shared" si="3"/>
        <v>A+</v>
      </c>
    </row>
    <row r="39">
      <c r="A39" s="30">
        <f t="shared" si="4"/>
        <v>32</v>
      </c>
      <c r="B39" s="19" t="s">
        <v>152</v>
      </c>
      <c r="C39" s="19" t="s">
        <v>153</v>
      </c>
      <c r="D39" s="65">
        <f>'Quiz Marks'!M37</f>
        <v>10.08333333</v>
      </c>
      <c r="E39" s="70">
        <v>22.3</v>
      </c>
      <c r="F39" s="65">
        <f>'Mid Marks'!I37</f>
        <v>15.83333333</v>
      </c>
      <c r="G39" s="48">
        <f>'Final Marks'!I37</f>
        <v>22</v>
      </c>
      <c r="H39" s="65">
        <f t="shared" si="5"/>
        <v>70.21666667</v>
      </c>
      <c r="I39" s="67">
        <f t="shared" si="2"/>
        <v>70</v>
      </c>
      <c r="J39" s="68" t="str">
        <f t="shared" si="3"/>
        <v>B-</v>
      </c>
    </row>
    <row r="40">
      <c r="A40" s="30">
        <f t="shared" si="4"/>
        <v>33</v>
      </c>
      <c r="B40" s="19" t="s">
        <v>156</v>
      </c>
      <c r="C40" s="19" t="s">
        <v>157</v>
      </c>
      <c r="D40" s="65">
        <f>'Quiz Marks'!M38</f>
        <v>0</v>
      </c>
      <c r="E40" s="70">
        <v>0.0</v>
      </c>
      <c r="F40" s="65">
        <f>'Mid Marks'!I38</f>
        <v>0</v>
      </c>
      <c r="G40" s="48">
        <f>'Final Marks'!I38</f>
        <v>0</v>
      </c>
      <c r="H40" s="65">
        <f t="shared" si="5"/>
        <v>0</v>
      </c>
      <c r="I40" s="67">
        <f t="shared" si="2"/>
        <v>0</v>
      </c>
      <c r="J40" s="68" t="str">
        <f t="shared" si="3"/>
        <v>F</v>
      </c>
    </row>
    <row r="41">
      <c r="A41" s="30">
        <f t="shared" si="4"/>
        <v>34</v>
      </c>
      <c r="B41" s="19" t="s">
        <v>160</v>
      </c>
      <c r="C41" s="19" t="s">
        <v>161</v>
      </c>
      <c r="D41" s="65">
        <f>'Quiz Marks'!M39</f>
        <v>2.75</v>
      </c>
      <c r="E41" s="70">
        <v>0.0</v>
      </c>
      <c r="F41" s="65">
        <f>'Mid Marks'!I39</f>
        <v>9.166666667</v>
      </c>
      <c r="G41" s="48">
        <f>'Final Marks'!I39</f>
        <v>0</v>
      </c>
      <c r="H41" s="65">
        <f t="shared" si="5"/>
        <v>11.91666667</v>
      </c>
      <c r="I41" s="67">
        <f t="shared" si="2"/>
        <v>12</v>
      </c>
      <c r="J41" s="68" t="str">
        <f t="shared" si="3"/>
        <v>F</v>
      </c>
    </row>
    <row r="42">
      <c r="A42" s="30">
        <f t="shared" si="4"/>
        <v>35</v>
      </c>
      <c r="B42" s="19" t="s">
        <v>163</v>
      </c>
      <c r="C42" s="19" t="s">
        <v>165</v>
      </c>
      <c r="D42" s="65">
        <f>'Quiz Marks'!M40</f>
        <v>9</v>
      </c>
      <c r="E42" s="70">
        <v>20.1</v>
      </c>
      <c r="F42" s="65">
        <f>'Mid Marks'!I40</f>
        <v>15.83333333</v>
      </c>
      <c r="G42" s="48">
        <f>'Final Marks'!I40</f>
        <v>21</v>
      </c>
      <c r="H42" s="65">
        <f t="shared" si="5"/>
        <v>65.93333333</v>
      </c>
      <c r="I42" s="67">
        <f t="shared" si="2"/>
        <v>66</v>
      </c>
      <c r="J42" s="68" t="str">
        <f t="shared" si="3"/>
        <v>C+</v>
      </c>
    </row>
    <row r="43">
      <c r="A43" s="30">
        <f t="shared" si="4"/>
        <v>36</v>
      </c>
      <c r="B43" s="19" t="s">
        <v>166</v>
      </c>
      <c r="C43" s="19" t="s">
        <v>167</v>
      </c>
      <c r="D43" s="65">
        <f>'Quiz Marks'!M41</f>
        <v>10.75</v>
      </c>
      <c r="E43" s="70">
        <v>19.2</v>
      </c>
      <c r="F43" s="65">
        <f>'Mid Marks'!I41</f>
        <v>15</v>
      </c>
      <c r="G43" s="48">
        <f>'Final Marks'!I41</f>
        <v>25</v>
      </c>
      <c r="H43" s="65">
        <f t="shared" si="5"/>
        <v>69.95</v>
      </c>
      <c r="I43" s="67">
        <f t="shared" si="2"/>
        <v>70</v>
      </c>
      <c r="J43" s="68" t="str">
        <f t="shared" si="3"/>
        <v>B-</v>
      </c>
    </row>
    <row r="44">
      <c r="A44" s="30">
        <f t="shared" si="4"/>
        <v>37</v>
      </c>
      <c r="B44" s="19" t="s">
        <v>170</v>
      </c>
      <c r="C44" s="19" t="s">
        <v>171</v>
      </c>
      <c r="D44" s="65">
        <f>'Quiz Marks'!M42</f>
        <v>11.91666667</v>
      </c>
      <c r="E44" s="70">
        <v>24.5</v>
      </c>
      <c r="F44" s="65">
        <f>'Mid Marks'!I42</f>
        <v>22.5</v>
      </c>
      <c r="G44" s="48">
        <f>'Final Marks'!I42</f>
        <v>31</v>
      </c>
      <c r="H44" s="65">
        <f t="shared" si="5"/>
        <v>89.91666667</v>
      </c>
      <c r="I44" s="67">
        <f t="shared" si="2"/>
        <v>90</v>
      </c>
      <c r="J44" s="68" t="str">
        <f t="shared" si="3"/>
        <v>A</v>
      </c>
    </row>
    <row r="45">
      <c r="A45" s="30">
        <f t="shared" si="4"/>
        <v>38</v>
      </c>
      <c r="B45" s="19" t="s">
        <v>174</v>
      </c>
      <c r="C45" s="19" t="s">
        <v>175</v>
      </c>
      <c r="D45" s="65">
        <f>'Quiz Marks'!M43</f>
        <v>13.5</v>
      </c>
      <c r="E45" s="70">
        <v>20.0</v>
      </c>
      <c r="F45" s="65">
        <f>'Mid Marks'!I43</f>
        <v>16.66666667</v>
      </c>
      <c r="G45" s="48">
        <f>'Final Marks'!I43</f>
        <v>0</v>
      </c>
      <c r="H45" s="65">
        <f t="shared" si="5"/>
        <v>50.16666667</v>
      </c>
      <c r="I45" s="67">
        <f t="shared" si="2"/>
        <v>50</v>
      </c>
      <c r="J45" s="68" t="str">
        <f t="shared" si="3"/>
        <v>D-</v>
      </c>
    </row>
    <row r="46">
      <c r="A46" s="30">
        <f t="shared" si="4"/>
        <v>39</v>
      </c>
      <c r="B46" s="19" t="s">
        <v>176</v>
      </c>
      <c r="C46" s="19" t="s">
        <v>178</v>
      </c>
      <c r="D46" s="65">
        <f>'Quiz Marks'!M44</f>
        <v>6.083333333</v>
      </c>
      <c r="E46" s="70">
        <v>22.3</v>
      </c>
      <c r="F46" s="65">
        <f>'Mid Marks'!I44</f>
        <v>10.83333333</v>
      </c>
      <c r="G46" s="48">
        <f>'Final Marks'!I44</f>
        <v>21</v>
      </c>
      <c r="H46" s="65">
        <f t="shared" si="5"/>
        <v>60.21666667</v>
      </c>
      <c r="I46" s="67">
        <f t="shared" si="2"/>
        <v>60</v>
      </c>
      <c r="J46" s="68" t="str">
        <f t="shared" si="3"/>
        <v>C</v>
      </c>
    </row>
    <row r="47">
      <c r="A47" s="30">
        <f t="shared" si="4"/>
        <v>40</v>
      </c>
      <c r="B47" s="19" t="s">
        <v>180</v>
      </c>
      <c r="C47" s="19" t="s">
        <v>181</v>
      </c>
      <c r="D47" s="65">
        <f>'Quiz Marks'!M45</f>
        <v>8.75</v>
      </c>
      <c r="E47" s="70">
        <v>21.7</v>
      </c>
      <c r="F47" s="65">
        <f>'Mid Marks'!I45</f>
        <v>14.16666667</v>
      </c>
      <c r="G47" s="48">
        <f>'Final Marks'!I45</f>
        <v>25</v>
      </c>
      <c r="H47" s="65">
        <f t="shared" si="5"/>
        <v>69.61666667</v>
      </c>
      <c r="I47" s="67">
        <f t="shared" si="2"/>
        <v>70</v>
      </c>
      <c r="J47" s="68" t="str">
        <f t="shared" si="3"/>
        <v>B-</v>
      </c>
    </row>
  </sheetData>
  <mergeCells count="6">
    <mergeCell ref="B1:C1"/>
    <mergeCell ref="B2:C2"/>
    <mergeCell ref="B3:C3"/>
    <mergeCell ref="B4:C4"/>
    <mergeCell ref="B5:C5"/>
    <mergeCell ref="B6:C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2026-07-23T19:51:53+06:00</dcterms:created>
  <dc:creator>Unknown Creator</dc:creator>
</cp:coreProperties>
</file>