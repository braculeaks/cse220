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orksheet" sheetId="1" r:id="rId4"/>
    <sheet state="visible" name="Quiz Marks" sheetId="2" r:id="rId5"/>
    <sheet state="visible" name="Mid Marks" sheetId="3" r:id="rId6"/>
    <sheet state="visible" name="Final Marks" sheetId="4" r:id="rId7"/>
    <sheet state="visible" name="Gradesheet" sheetId="5" r:id="rId8"/>
  </sheets>
  <definedNames/>
  <calcPr/>
  <extLst>
    <ext uri="GoogleSheetsCustomDataVersion2">
      <go:sheetsCustomData xmlns:go="http://customooxmlschemas.google.com/" r:id="rId9" roundtripDataChecksum="P2ZI8hnLUFrvNeo5w0kvfwP+gkwVRRtaRt2iOBUYpNk="/>
    </ext>
  </extLst>
</workbook>
</file>

<file path=xl/sharedStrings.xml><?xml version="1.0" encoding="utf-8"?>
<sst xmlns="http://schemas.openxmlformats.org/spreadsheetml/2006/main" count="779" uniqueCount="219">
  <si>
    <t>BRAC University</t>
  </si>
  <si>
    <t>QUIZ MARKS</t>
  </si>
  <si>
    <t>Final Marks</t>
  </si>
  <si>
    <t>Mid Marks</t>
  </si>
  <si>
    <t>SL</t>
  </si>
  <si>
    <t>Advising Section Confirmation Status</t>
  </si>
  <si>
    <t>Student Id</t>
  </si>
  <si>
    <t>Name</t>
  </si>
  <si>
    <t>Session:SUMMER 2026</t>
  </si>
  <si>
    <t>Q1 6 Marks</t>
  </si>
  <si>
    <t>Q1 (6 marks)</t>
  </si>
  <si>
    <t>Quiz-01 (20 Marks)</t>
  </si>
  <si>
    <t>Q2 (8 marks)</t>
  </si>
  <si>
    <t>Q3 (4 marks)</t>
  </si>
  <si>
    <t>Q4 (6 marks)</t>
  </si>
  <si>
    <t>Quiz-02 (20 Marks)</t>
  </si>
  <si>
    <t>Q5 (11 marks)</t>
  </si>
  <si>
    <t>Total</t>
  </si>
  <si>
    <t>Quiz-03 (15 Marks)</t>
  </si>
  <si>
    <t>Quiz-04 (20 Marks)</t>
  </si>
  <si>
    <t>Q2 8 Marks</t>
  </si>
  <si>
    <t>Quiz-01</t>
  </si>
  <si>
    <t>20301018</t>
  </si>
  <si>
    <t>Academic Degree Undergraduate</t>
  </si>
  <si>
    <t>Q3 6 Marks</t>
  </si>
  <si>
    <t>Quiz-02</t>
  </si>
  <si>
    <t>Q4 10 Marks</t>
  </si>
  <si>
    <t>Quiz-03</t>
  </si>
  <si>
    <t>Quiz-04</t>
  </si>
  <si>
    <t>Total 30 Marks</t>
  </si>
  <si>
    <t>Bandhu Tanoy Chowdhury</t>
  </si>
  <si>
    <t>Total 15%</t>
  </si>
  <si>
    <t>Total 25%</t>
  </si>
  <si>
    <t xml:space="preserve">Course: CSE220 - 11 </t>
  </si>
  <si>
    <t>Program</t>
  </si>
  <si>
    <t>Email</t>
  </si>
  <si>
    <t>Phone</t>
  </si>
  <si>
    <t>Course Code</t>
  </si>
  <si>
    <t>Section</t>
  </si>
  <si>
    <t>Section Type</t>
  </si>
  <si>
    <t>Course Faculty</t>
  </si>
  <si>
    <t>Confirmation Status</t>
  </si>
  <si>
    <t>CSE</t>
  </si>
  <si>
    <t>bandhu.tanoy.chowdhury@g.bracu.ac.bd</t>
  </si>
  <si>
    <t>01915467780</t>
  </si>
  <si>
    <t>CSE220</t>
  </si>
  <si>
    <t>11</t>
  </si>
  <si>
    <t>OTHER</t>
  </si>
  <si>
    <t>SWG</t>
  </si>
  <si>
    <t>Yes</t>
  </si>
  <si>
    <t>22101049</t>
  </si>
  <si>
    <t>Fahim Hasan</t>
  </si>
  <si>
    <t>fahim.hasan4@g.bracu.ac.bd</t>
  </si>
  <si>
    <t>01316608083</t>
  </si>
  <si>
    <t>23301031</t>
  </si>
  <si>
    <t>Zubair</t>
  </si>
  <si>
    <t>zubair@g.bracu.ac.bd</t>
  </si>
  <si>
    <t>01616633496</t>
  </si>
  <si>
    <t>23301398</t>
  </si>
  <si>
    <t>Masnoon Wafee Imam</t>
  </si>
  <si>
    <t>masnoon.wafee.imam@g.bracu.ac.bd</t>
  </si>
  <si>
    <t>01302098194</t>
  </si>
  <si>
    <t>No</t>
  </si>
  <si>
    <t>23301656</t>
  </si>
  <si>
    <t>Nusaiba Binte Kobir</t>
  </si>
  <si>
    <t>nusaiba.binte.kobir@g.bracu.ac.bd</t>
  </si>
  <si>
    <t>01797686281</t>
  </si>
  <si>
    <t>23201302</t>
  </si>
  <si>
    <t>Tasnim Shahad Rafi</t>
  </si>
  <si>
    <t>tasnim.shahad.rafi@g.bracu.ac.bd</t>
  </si>
  <si>
    <t>+8801711751187</t>
  </si>
  <si>
    <t>23201649</t>
  </si>
  <si>
    <t>Taishuk Emam</t>
  </si>
  <si>
    <t>taishuk.emam@g.bracu.ac.bd</t>
  </si>
  <si>
    <t>01725713507</t>
  </si>
  <si>
    <t>23201659</t>
  </si>
  <si>
    <t>Maisha Sanjida Akhi</t>
  </si>
  <si>
    <t>maisha.sanjida.akhi@g.bracu.ac.bd</t>
  </si>
  <si>
    <t>01929122929</t>
  </si>
  <si>
    <t>24101086</t>
  </si>
  <si>
    <t>Adrika Das</t>
  </si>
  <si>
    <t>adrika.das@g.bracu.ac.bd</t>
  </si>
  <si>
    <t>01793502522</t>
  </si>
  <si>
    <t>24101078</t>
  </si>
  <si>
    <t>Md. Abu Sayeed Sunny</t>
  </si>
  <si>
    <t>abu.sayeed.sunny@g.bracu.ac.bd</t>
  </si>
  <si>
    <t>01700846578</t>
  </si>
  <si>
    <t>24121142</t>
  </si>
  <si>
    <t>Sahira Humaira Hridika</t>
  </si>
  <si>
    <t>EEE</t>
  </si>
  <si>
    <t>sahira.humaira.hridika@g.bracu.ac.bd</t>
  </si>
  <si>
    <t>01618284878</t>
  </si>
  <si>
    <t>24101244</t>
  </si>
  <si>
    <t>Talal Rahat Dipto</t>
  </si>
  <si>
    <t>talal.rahat.dipto@g.bracu.ac.bd</t>
  </si>
  <si>
    <t>01772581878</t>
  </si>
  <si>
    <t>24141046</t>
  </si>
  <si>
    <t>Saima Tasfia</t>
  </si>
  <si>
    <t>CS</t>
  </si>
  <si>
    <t>saima.tasfia@g.bracu.ac.bd</t>
  </si>
  <si>
    <t>01880293832</t>
  </si>
  <si>
    <t>24301015</t>
  </si>
  <si>
    <t>Mohammad Nahian Shahriyer</t>
  </si>
  <si>
    <t>mohammad.nahian.shahriyer@g.bracu.ac.bd</t>
  </si>
  <si>
    <t>+8801919541334</t>
  </si>
  <si>
    <t>24301393</t>
  </si>
  <si>
    <t>Rifah Tasnia Atoshe</t>
  </si>
  <si>
    <t>rifah.tasnia.atoshe@g.bracu.ac.bd</t>
  </si>
  <si>
    <t>01796585039</t>
  </si>
  <si>
    <t>24301428</t>
  </si>
  <si>
    <t>Aribah Abiar</t>
  </si>
  <si>
    <t>aribah.abiar@g.bracu.ac.bd</t>
  </si>
  <si>
    <t>01552495452</t>
  </si>
  <si>
    <t>22201440</t>
  </si>
  <si>
    <t>S. M. Mahmudul Hasan</t>
  </si>
  <si>
    <t>sm.mahmudul.hasan@g.bracu.ac.bd</t>
  </si>
  <si>
    <t>01677300065</t>
  </si>
  <si>
    <t>22299297</t>
  </si>
  <si>
    <t>Sharmin Afrose</t>
  </si>
  <si>
    <t>sharmin.afrose@g.bracu.ac.bd</t>
  </si>
  <si>
    <t>+8801301127928</t>
  </si>
  <si>
    <t>23316002</t>
  </si>
  <si>
    <t>Sakibul Islam</t>
  </si>
  <si>
    <t>MAT</t>
  </si>
  <si>
    <t>sakibul.islam2@g.bracu.ac.bd</t>
  </si>
  <si>
    <t>01531540130</t>
  </si>
  <si>
    <t>24101674</t>
  </si>
  <si>
    <t>Tanvir Hossain</t>
  </si>
  <si>
    <t>tanvir.hossain1@g.bracu.ac.bd</t>
  </si>
  <si>
    <t>01756322062</t>
  </si>
  <si>
    <t>23201652</t>
  </si>
  <si>
    <t>Mahit Kamal</t>
  </si>
  <si>
    <t>mahit.kamal@g.bracu.ac.bd</t>
  </si>
  <si>
    <t>01863542557</t>
  </si>
  <si>
    <t>24101281</t>
  </si>
  <si>
    <t>Md. Raik Islam</t>
  </si>
  <si>
    <t>md.raik.islam@g.bracu.ac.bd</t>
  </si>
  <si>
    <t>01718527927</t>
  </si>
  <si>
    <t>24341021</t>
  </si>
  <si>
    <t>Mohammad Abrar Jahin Intisar</t>
  </si>
  <si>
    <t>abrar.jahin.intisar@g.bracu.ac.bd</t>
  </si>
  <si>
    <t>01764588820</t>
  </si>
  <si>
    <t>24201012</t>
  </si>
  <si>
    <t>Karimah Binte Kamal</t>
  </si>
  <si>
    <t>karimah.binte.kamal@g.bracu.ac.bd</t>
  </si>
  <si>
    <t>01312486876</t>
  </si>
  <si>
    <t>24201465</t>
  </si>
  <si>
    <t>Kaniz Fatima Mim</t>
  </si>
  <si>
    <t>kaniz.fatima.mim@g.bracu.ac.bd</t>
  </si>
  <si>
    <t>01400905850</t>
  </si>
  <si>
    <t>24201443</t>
  </si>
  <si>
    <t>Prothom Deshmukhya</t>
  </si>
  <si>
    <t>prothom.deshmukhya@g.bracu.ac.bd</t>
  </si>
  <si>
    <t>01732280717</t>
  </si>
  <si>
    <t>24121098</t>
  </si>
  <si>
    <t>Nusrat Islam Niha</t>
  </si>
  <si>
    <t>nusrat.islam.niha@g.bracu.ac.bd</t>
  </si>
  <si>
    <t>01877999685</t>
  </si>
  <si>
    <t>24121159</t>
  </si>
  <si>
    <t>Ramisa Rahman</t>
  </si>
  <si>
    <t>ramisa.rahman2@g.bracu.ac.bd</t>
  </si>
  <si>
    <t>01706236767</t>
  </si>
  <si>
    <t>24121252</t>
  </si>
  <si>
    <t>Raisa Rahman</t>
  </si>
  <si>
    <t>raisa.rahman2@g.bracu.ac.bd</t>
  </si>
  <si>
    <t>01707946989</t>
  </si>
  <si>
    <t>24101563</t>
  </si>
  <si>
    <t>Tazim Ariyan Khan</t>
  </si>
  <si>
    <t>tazim.ariyan.khan@g.bracu.ac.bd</t>
  </si>
  <si>
    <t>01646481597</t>
  </si>
  <si>
    <t>23101148</t>
  </si>
  <si>
    <t>Md. Asifur Rahman Khan</t>
  </si>
  <si>
    <t>asifur.rahman.khan1@g.bracu.ac.bd</t>
  </si>
  <si>
    <t>01718019772</t>
  </si>
  <si>
    <t>24121378</t>
  </si>
  <si>
    <t>Irfan Pradhan</t>
  </si>
  <si>
    <t>irfan.pradhan@g.bracu.ac.bd</t>
  </si>
  <si>
    <t>01793887357</t>
  </si>
  <si>
    <t>22101434</t>
  </si>
  <si>
    <t>Masrafi Shibly Prachurza</t>
  </si>
  <si>
    <t>masrafi.shibly.prachurza@g.bracu.ac.bd</t>
  </si>
  <si>
    <t>01989305694</t>
  </si>
  <si>
    <t>24121143</t>
  </si>
  <si>
    <t>Mohammad Zawaad Mostofa</t>
  </si>
  <si>
    <t>mohammad.zawaad.mostofa@g.bracu.ac.bd</t>
  </si>
  <si>
    <t>01709602177</t>
  </si>
  <si>
    <t>24315015</t>
  </si>
  <si>
    <t>Sowad Ahmed</t>
  </si>
  <si>
    <t>sowad.ahmed@g.bracu.ac.bd</t>
  </si>
  <si>
    <t>01732200409</t>
  </si>
  <si>
    <t>23201075</t>
  </si>
  <si>
    <t>Anasua Mistry</t>
  </si>
  <si>
    <t>anasua.mistry@g.bracu.ac.bd</t>
  </si>
  <si>
    <t>01324531404</t>
  </si>
  <si>
    <t>22221137</t>
  </si>
  <si>
    <t>Omer Hossain</t>
  </si>
  <si>
    <t>omer.hossain@g.bracu.ac.bd</t>
  </si>
  <si>
    <t>01537433121</t>
  </si>
  <si>
    <t>24321027</t>
  </si>
  <si>
    <t>Md Junayet Hossain Dip</t>
  </si>
  <si>
    <t>junayet.hossain.dip@g.bracu.ac.bd</t>
  </si>
  <si>
    <t>01738241979</t>
  </si>
  <si>
    <t>24321303</t>
  </si>
  <si>
    <t>Farhad Bin Sharif</t>
  </si>
  <si>
    <t>farhad.bin.sharif@g.bracu.ac.bd</t>
  </si>
  <si>
    <t>01865646806</t>
  </si>
  <si>
    <t>23101245</t>
  </si>
  <si>
    <t>Farhan Yusuf Ashiq</t>
  </si>
  <si>
    <t>farhan.yusuf.ashiq@g.bracu.ac.bd</t>
  </si>
  <si>
    <t>01794701466</t>
  </si>
  <si>
    <t>GRADESHEET CSE220 ~ 11</t>
  </si>
  <si>
    <t>Sl</t>
  </si>
  <si>
    <t>Quiz (15%)</t>
  </si>
  <si>
    <t>Lab (25%)</t>
  </si>
  <si>
    <t>Mid (25%)</t>
  </si>
  <si>
    <t>Finals (35%)</t>
  </si>
  <si>
    <t>Total (100 Marks)</t>
  </si>
  <si>
    <t>Total (100% Marks)</t>
  </si>
  <si>
    <t>GRADES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</si>
</sst>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5">
    <font>
      <sz val="11.0"/>
      <color rgb="FF000000"/>
      <name val="Calibri"/>
      <scheme val="minor"/>
    </font>
    <font>
      <b/>
      <sz val="17.0"/>
      <color theme="1"/>
      <name val="Calibri"/>
    </font>
    <font>
      <b/>
      <sz val="12.0"/>
      <color rgb="FF000000"/>
      <name val="Arial"/>
    </font>
    <font>
      <b/>
      <sz val="18.0"/>
      <color theme="1"/>
      <name val="Comfortaa"/>
    </font>
    <font/>
    <font>
      <b/>
      <sz val="11.0"/>
      <color rgb="FF000000"/>
      <name val="Arial"/>
    </font>
    <font>
      <b/>
      <sz val="11.0"/>
      <color theme="1"/>
      <name val="Comfortaa"/>
    </font>
    <font>
      <sz val="11.0"/>
      <color theme="1"/>
      <name val="Arial"/>
    </font>
    <font>
      <color theme="1"/>
      <name val="Calibri"/>
      <scheme val="minor"/>
    </font>
    <font>
      <sz val="11.0"/>
      <color rgb="FF000000"/>
      <name val="Arial"/>
    </font>
    <font>
      <sz val="13.0"/>
      <color theme="1"/>
      <name val="Calibri"/>
      <scheme val="minor"/>
    </font>
    <font>
      <sz val="12.0"/>
      <color theme="1"/>
      <name val="Comfortaa"/>
    </font>
    <font>
      <sz val="10.0"/>
      <color rgb="FF000000"/>
      <name val="Arial"/>
    </font>
    <font>
      <b/>
      <sz val="12.0"/>
      <color theme="1"/>
      <name val="Comfortaa"/>
    </font>
    <font>
      <b/>
      <sz val="12.0"/>
      <color theme="1"/>
      <name val="Calibri"/>
      <scheme val="minor"/>
    </font>
    <font>
      <sz val="11.0"/>
      <color rgb="FF000000"/>
      <name val="Calibri"/>
    </font>
    <font>
      <b/>
      <sz val="15.0"/>
      <color rgb="FFFF00FF"/>
      <name val="Times New Roman"/>
    </font>
    <font>
      <sz val="11.0"/>
      <color theme="1"/>
      <name val="Calibri"/>
    </font>
    <font>
      <b/>
      <sz val="14.0"/>
      <color rgb="FFFF00FF"/>
      <name val="Calibri"/>
      <scheme val="minor"/>
    </font>
    <font>
      <b/>
      <i/>
      <sz val="13.0"/>
      <color theme="1"/>
      <name val="Arial"/>
    </font>
    <font>
      <b/>
      <sz val="12.0"/>
      <color theme="1"/>
      <name val="Arial"/>
    </font>
    <font>
      <b/>
      <sz val="11.0"/>
      <color theme="1"/>
      <name val="Calibri"/>
    </font>
    <font>
      <b/>
      <sz val="13.0"/>
      <color rgb="FFFF00FF"/>
      <name val="Calibri"/>
      <scheme val="minor"/>
    </font>
    <font>
      <sz val="11.0"/>
      <color theme="1"/>
      <name val="Tahoma"/>
    </font>
    <font>
      <b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2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0"/>
    </xf>
    <xf borderId="0" fillId="0" fontId="3" numFmtId="0" xfId="0" applyAlignment="1" applyFont="1">
      <alignment readingOrder="0"/>
    </xf>
    <xf borderId="2" fillId="0" fontId="4" numFmtId="0" xfId="0" applyBorder="1" applyFont="1"/>
    <xf borderId="3" fillId="2" fontId="5" numFmtId="0" xfId="0" applyAlignment="1" applyBorder="1" applyFill="1" applyFont="1">
      <alignment horizontal="left" readingOrder="0" shrinkToFit="0" vertical="center" wrapText="0"/>
    </xf>
    <xf borderId="4" fillId="0" fontId="4" numFmtId="0" xfId="0" applyBorder="1" applyFont="1"/>
    <xf borderId="3" fillId="2" fontId="5" numFmtId="0" xfId="0" applyAlignment="1" applyBorder="1" applyFill="1" applyFont="1">
      <alignment horizontal="left" shrinkToFit="0" vertical="center" wrapText="0"/>
    </xf>
    <xf borderId="3" fillId="2" fontId="5" numFmtId="0" xfId="0" applyAlignment="1" applyBorder="1" applyFill="1" applyFont="1">
      <alignment horizontal="center" shrinkToFit="0" vertical="center" wrapText="0"/>
    </xf>
    <xf borderId="3" fillId="2" fontId="5" numFmtId="0" xfId="0" applyAlignment="1" applyBorder="1" applyFill="1" applyFont="1">
      <alignment horizontal="center" readingOrder="0" shrinkToFit="0" vertical="center" wrapText="0"/>
    </xf>
    <xf borderId="3" fillId="2" fontId="5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left" shrinkToFit="0" vertical="center" wrapText="0"/>
    </xf>
    <xf borderId="3" fillId="0" fontId="7" numFmtId="0" xfId="0" applyAlignment="1" applyBorder="1" applyFont="1">
      <alignment horizontal="left" readingOrder="0"/>
    </xf>
    <xf borderId="3" fillId="0" fontId="6" numFmtId="0" xfId="0" applyAlignment="1" applyBorder="1" applyFont="1">
      <alignment vertical="bottom"/>
    </xf>
    <xf borderId="5" fillId="0" fontId="8" numFmtId="0" xfId="0" applyAlignment="1" applyBorder="1" applyFont="1">
      <alignment readingOrder="0"/>
    </xf>
    <xf borderId="3" fillId="2" fontId="9" numFmtId="49" xfId="0" applyAlignment="1" applyBorder="1" applyFill="1" applyFont="1" applyNumberFormat="1">
      <alignment horizontal="left" shrinkToFit="0" vertical="center" wrapText="0"/>
    </xf>
    <xf borderId="3" fillId="0" fontId="9" numFmtId="49" xfId="0" applyAlignment="1" applyBorder="1" applyFont="1" applyNumberFormat="1">
      <alignment horizontal="left" shrinkToFit="0" vertical="bottom" wrapText="0"/>
    </xf>
    <xf borderId="6" fillId="0" fontId="10" numFmtId="0" xfId="0" applyBorder="1" applyFont="1"/>
    <xf borderId="7" fillId="0" fontId="10" numFmtId="0" xfId="0" applyBorder="1" applyFont="1"/>
    <xf borderId="3" fillId="2" fontId="9" numFmtId="49" xfId="0" applyAlignment="1" applyBorder="1" applyFill="1" applyFont="1" applyNumberFormat="1">
      <alignment horizontal="left" shrinkToFit="0" vertical="bottom" wrapText="0"/>
    </xf>
    <xf borderId="8" fillId="0" fontId="10" numFmtId="0" xfId="0" applyBorder="1" applyFont="1"/>
    <xf borderId="9" fillId="3" fontId="7" numFmtId="0" xfId="0" applyAlignment="1" applyBorder="1" applyFill="1" applyFont="1">
      <alignment readingOrder="0"/>
    </xf>
    <xf borderId="9" fillId="0" fontId="7" numFmtId="0" xfId="0" applyBorder="1" applyFont="1"/>
    <xf borderId="3" fillId="0" fontId="11" numFmtId="0" xfId="0" applyAlignment="1" applyBorder="1" applyFont="1">
      <alignment readingOrder="0" vertical="bottom"/>
    </xf>
    <xf borderId="3" fillId="2" fontId="2" numFmtId="0" xfId="0" applyAlignment="1" applyBorder="1" applyFill="1" applyFont="1">
      <alignment horizontal="left" shrinkToFit="0" vertical="center" wrapText="0"/>
    </xf>
    <xf borderId="9" fillId="0" fontId="8" numFmtId="0" xfId="0" applyAlignment="1" applyBorder="1" applyFont="1">
      <alignment readingOrder="0"/>
    </xf>
    <xf borderId="3" fillId="2" fontId="2" numFmtId="0" xfId="0" applyAlignment="1" applyBorder="1" applyFill="1" applyFont="1">
      <alignment horizontal="center" shrinkToFit="0" vertical="center" wrapText="0"/>
    </xf>
    <xf borderId="3" fillId="0" fontId="10" numFmtId="0" xfId="0" applyBorder="1" applyFont="1"/>
    <xf borderId="3" fillId="2" fontId="12" numFmtId="49" xfId="0" applyAlignment="1" applyBorder="1" applyFill="1" applyFont="1" applyNumberFormat="1">
      <alignment horizontal="left" shrinkToFit="0" vertical="center" wrapText="0"/>
    </xf>
    <xf borderId="3" fillId="2" fontId="12" numFmtId="49" xfId="0" applyAlignment="1" applyBorder="1" applyFill="1" applyFont="1" applyNumberFormat="1">
      <alignment horizontal="left" shrinkToFit="0" vertical="bottom" wrapText="0"/>
    </xf>
    <xf borderId="3" fillId="0" fontId="8" numFmtId="0" xfId="0" applyBorder="1" applyFont="1"/>
    <xf borderId="3" fillId="0" fontId="13" numFmtId="0" xfId="0" applyAlignment="1" applyBorder="1" applyFont="1">
      <alignment horizontal="right" vertical="bottom"/>
    </xf>
    <xf borderId="3" fillId="0" fontId="7" numFmtId="0" xfId="0" applyAlignment="1" applyBorder="1" applyFont="1">
      <alignment horizontal="left"/>
    </xf>
    <xf borderId="6" fillId="0" fontId="10" numFmtId="0" xfId="0" applyAlignment="1" applyBorder="1" applyFont="1">
      <alignment readingOrder="0"/>
    </xf>
    <xf borderId="0" fillId="0" fontId="14" numFmtId="164" xfId="0" applyFont="1" applyNumberFormat="1"/>
    <xf borderId="7" fillId="0" fontId="10" numFmtId="0" xfId="0" applyAlignment="1" applyBorder="1" applyFont="1">
      <alignment readingOrder="0"/>
    </xf>
    <xf borderId="8" fillId="0" fontId="10" numFmtId="0" xfId="0" applyAlignment="1" applyBorder="1" applyFont="1">
      <alignment readingOrder="0"/>
    </xf>
    <xf borderId="3" fillId="0" fontId="8" numFmtId="164" xfId="0" applyBorder="1" applyFont="1" applyNumberFormat="1"/>
    <xf borderId="3" fillId="4" fontId="9" numFmtId="49" xfId="0" applyAlignment="1" applyBorder="1" applyFill="1" applyFont="1" applyNumberFormat="1">
      <alignment horizontal="left" shrinkToFit="0" vertical="bottom" wrapText="0"/>
    </xf>
    <xf borderId="10" fillId="3" fontId="7" numFmtId="0" xfId="0" applyAlignment="1" applyBorder="1" applyFill="1" applyFont="1">
      <alignment readingOrder="0"/>
    </xf>
    <xf borderId="10" fillId="0" fontId="7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3" fillId="0" fontId="11" numFmtId="0" xfId="0" applyAlignment="1" applyBorder="1" applyFont="1">
      <alignment vertical="bottom"/>
    </xf>
    <xf borderId="10" fillId="0" fontId="7" numFmtId="0" xfId="0" applyBorder="1" applyFont="1"/>
    <xf borderId="10" fillId="0" fontId="8" numFmtId="0" xfId="0" applyBorder="1" applyFont="1"/>
    <xf borderId="0" fillId="0" fontId="15" numFmtId="49" xfId="0" applyAlignment="1" applyFont="1" applyNumberFormat="1">
      <alignment horizontal="left" shrinkToFit="0" vertical="bottom" wrapText="0"/>
    </xf>
    <xf borderId="10" fillId="3" fontId="8" numFmtId="0" xfId="0" applyAlignment="1" applyBorder="1" applyFill="1" applyFont="1">
      <alignment readingOrder="0"/>
    </xf>
    <xf borderId="0" fillId="0" fontId="16" numFmtId="0" xfId="0" applyFont="1"/>
    <xf borderId="10" fillId="4" fontId="8" numFmtId="0" xfId="0" applyAlignment="1" applyBorder="1" applyFill="1" applyFont="1">
      <alignment readingOrder="0"/>
    </xf>
    <xf borderId="0" fillId="5" fontId="17" numFmtId="0" xfId="0" applyAlignment="1" applyFill="1" applyFont="1">
      <alignment vertical="bottom"/>
    </xf>
    <xf borderId="1" fillId="5" fontId="17" numFmtId="0" xfId="0" applyAlignment="1" applyBorder="1" applyFill="1" applyFont="1">
      <alignment vertical="bottom"/>
    </xf>
    <xf borderId="0" fillId="0" fontId="18" numFmtId="0" xfId="0" applyFont="1"/>
    <xf borderId="0" fillId="0" fontId="8" numFmtId="0" xfId="0" applyFont="1"/>
    <xf borderId="1" fillId="5" fontId="19" numFmtId="0" xfId="0" applyAlignment="1" applyBorder="1" applyFill="1" applyFont="1">
      <alignment horizontal="center" readingOrder="0" vertical="bottom"/>
    </xf>
    <xf borderId="3" fillId="2" fontId="20" numFmtId="0" xfId="0" applyBorder="1" applyFill="1" applyFont="1"/>
    <xf borderId="3" fillId="2" fontId="20" numFmtId="0" xfId="0" applyAlignment="1" applyBorder="1" applyFill="1" applyFont="1">
      <alignment horizontal="center"/>
    </xf>
    <xf borderId="3" fillId="0" fontId="21" numFmtId="0" xfId="0" applyAlignment="1" applyBorder="1" applyFont="1">
      <alignment shrinkToFit="0" vertical="bottom" wrapText="1"/>
    </xf>
    <xf borderId="0" fillId="0" fontId="8" numFmtId="164" xfId="0" applyFont="1" applyNumberFormat="1"/>
    <xf borderId="0" fillId="0" fontId="8" numFmtId="0" xfId="0" applyAlignment="1" applyFont="1">
      <alignment readingOrder="0"/>
    </xf>
    <xf borderId="11" fillId="0" fontId="7" numFmtId="0" xfId="0" applyAlignment="1" applyBorder="1" applyFont="1">
      <alignment readingOrder="0"/>
    </xf>
    <xf borderId="11" fillId="0" fontId="8" numFmtId="0" xfId="0" applyAlignment="1" applyBorder="1" applyFont="1">
      <alignment readingOrder="0"/>
    </xf>
    <xf borderId="0" fillId="0" fontId="22" numFmtId="0" xfId="0" applyFont="1"/>
    <xf borderId="11" fillId="0" fontId="23" numFmtId="2" xfId="0" applyAlignment="1" applyBorder="1" applyFont="1" applyNumberFormat="1">
      <alignment horizontal="right" vertical="bottom"/>
    </xf>
    <xf borderId="3" fillId="0" fontId="2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33.14"/>
    <col customWidth="1" min="3" max="3" width="13.57"/>
    <col customWidth="1" min="4" max="4" width="45.71"/>
    <col customWidth="1" min="5" max="5" width="17.14"/>
    <col customWidth="1" min="6" max="6" width="19.0"/>
    <col customWidth="1" min="7" max="7" width="13.57"/>
    <col customWidth="1" min="8" max="8" width="20.43"/>
    <col customWidth="1" min="9" max="9" width="23.14"/>
    <col customWidth="1" min="10" max="10" width="30.0"/>
    <col customWidth="1" min="11" max="26" width="8.71"/>
  </cols>
  <sheetData>
    <row r="1" ht="14.25" customHeight="1">
      <c r="A1" s="2" t="s">
        <v>0</v>
      </c>
      <c r="B1" s="4"/>
      <c r="C1" s="4"/>
      <c r="D1" s="4"/>
      <c r="E1" s="4"/>
      <c r="F1" s="4"/>
      <c r="G1" s="4"/>
      <c r="H1" s="4"/>
      <c r="I1" s="4"/>
      <c r="J1" s="6"/>
    </row>
    <row r="2" ht="14.25" customHeight="1">
      <c r="A2" s="2" t="s">
        <v>5</v>
      </c>
      <c r="B2" s="4"/>
      <c r="C2" s="4"/>
      <c r="D2" s="4"/>
      <c r="E2" s="4"/>
      <c r="F2" s="4"/>
      <c r="G2" s="4"/>
      <c r="H2" s="4"/>
      <c r="I2" s="4"/>
      <c r="J2" s="6"/>
    </row>
    <row r="3" ht="14.25" customHeight="1">
      <c r="A3" s="12" t="s">
        <v>8</v>
      </c>
      <c r="B3" s="4"/>
      <c r="C3" s="4"/>
      <c r="D3" s="4"/>
      <c r="E3" s="4"/>
      <c r="F3" s="4"/>
      <c r="G3" s="4"/>
      <c r="H3" s="4"/>
      <c r="I3" s="4"/>
      <c r="J3" s="6"/>
    </row>
    <row r="4" ht="14.25" customHeight="1">
      <c r="A4" s="12" t="s">
        <v>23</v>
      </c>
      <c r="B4" s="4"/>
      <c r="C4" s="4"/>
      <c r="D4" s="4"/>
      <c r="E4" s="4"/>
      <c r="F4" s="4"/>
      <c r="G4" s="4"/>
      <c r="H4" s="4"/>
      <c r="I4" s="4"/>
      <c r="J4" s="6"/>
    </row>
    <row r="5" ht="14.25" customHeight="1">
      <c r="A5" s="12" t="s">
        <v>33</v>
      </c>
      <c r="B5" s="4"/>
      <c r="C5" s="4"/>
      <c r="D5" s="4"/>
      <c r="E5" s="4"/>
      <c r="F5" s="4"/>
      <c r="G5" s="4"/>
      <c r="H5" s="4"/>
      <c r="I5" s="4"/>
      <c r="J5" s="6"/>
    </row>
    <row r="6" ht="14.25" customHeight="1">
      <c r="A6" s="12"/>
      <c r="B6" s="4"/>
      <c r="C6" s="4"/>
      <c r="D6" s="4"/>
      <c r="E6" s="4"/>
      <c r="F6" s="4"/>
      <c r="G6" s="4"/>
      <c r="H6" s="4"/>
      <c r="I6" s="4"/>
      <c r="J6" s="6"/>
    </row>
    <row r="7" ht="14.25" customHeight="1">
      <c r="A7" s="25" t="s">
        <v>6</v>
      </c>
      <c r="B7" s="27" t="s">
        <v>7</v>
      </c>
      <c r="C7" s="27" t="s">
        <v>34</v>
      </c>
      <c r="D7" s="27" t="s">
        <v>35</v>
      </c>
      <c r="E7" s="27" t="s">
        <v>36</v>
      </c>
      <c r="F7" s="27" t="s">
        <v>37</v>
      </c>
      <c r="G7" s="27" t="s">
        <v>38</v>
      </c>
      <c r="H7" s="27" t="s">
        <v>39</v>
      </c>
      <c r="I7" s="27" t="s">
        <v>40</v>
      </c>
      <c r="J7" s="27" t="s">
        <v>41</v>
      </c>
    </row>
    <row r="8" ht="14.25" customHeight="1">
      <c r="A8" s="29" t="s">
        <v>22</v>
      </c>
      <c r="B8" s="30" t="s">
        <v>30</v>
      </c>
      <c r="C8" s="30" t="s">
        <v>42</v>
      </c>
      <c r="D8" s="30" t="s">
        <v>43</v>
      </c>
      <c r="E8" s="30" t="s">
        <v>44</v>
      </c>
      <c r="F8" s="30" t="s">
        <v>45</v>
      </c>
      <c r="G8" s="30" t="s">
        <v>46</v>
      </c>
      <c r="H8" s="30" t="s">
        <v>47</v>
      </c>
      <c r="I8" s="30" t="s">
        <v>48</v>
      </c>
      <c r="J8" s="30" t="s">
        <v>49</v>
      </c>
    </row>
    <row r="9" ht="14.25" customHeight="1">
      <c r="A9" s="30" t="s">
        <v>50</v>
      </c>
      <c r="B9" s="30" t="s">
        <v>51</v>
      </c>
      <c r="C9" s="30" t="s">
        <v>42</v>
      </c>
      <c r="D9" s="30" t="s">
        <v>52</v>
      </c>
      <c r="E9" s="30" t="s">
        <v>53</v>
      </c>
      <c r="F9" s="30" t="s">
        <v>45</v>
      </c>
      <c r="G9" s="30" t="s">
        <v>46</v>
      </c>
      <c r="H9" s="30" t="s">
        <v>47</v>
      </c>
      <c r="I9" s="30" t="s">
        <v>48</v>
      </c>
      <c r="J9" s="30" t="s">
        <v>49</v>
      </c>
    </row>
    <row r="10" ht="14.25" customHeight="1">
      <c r="A10" s="30" t="s">
        <v>54</v>
      </c>
      <c r="B10" s="30" t="s">
        <v>55</v>
      </c>
      <c r="C10" s="30" t="s">
        <v>42</v>
      </c>
      <c r="D10" s="30" t="s">
        <v>56</v>
      </c>
      <c r="E10" s="30" t="s">
        <v>57</v>
      </c>
      <c r="F10" s="30" t="s">
        <v>45</v>
      </c>
      <c r="G10" s="30" t="s">
        <v>46</v>
      </c>
      <c r="H10" s="30" t="s">
        <v>47</v>
      </c>
      <c r="I10" s="30" t="s">
        <v>48</v>
      </c>
      <c r="J10" s="30" t="s">
        <v>49</v>
      </c>
    </row>
    <row r="11" ht="14.25" customHeight="1">
      <c r="A11" s="30" t="s">
        <v>58</v>
      </c>
      <c r="B11" s="30" t="s">
        <v>59</v>
      </c>
      <c r="C11" s="30" t="s">
        <v>42</v>
      </c>
      <c r="D11" s="30" t="s">
        <v>60</v>
      </c>
      <c r="E11" s="30" t="s">
        <v>61</v>
      </c>
      <c r="F11" s="30" t="s">
        <v>45</v>
      </c>
      <c r="G11" s="30" t="s">
        <v>46</v>
      </c>
      <c r="H11" s="30" t="s">
        <v>47</v>
      </c>
      <c r="I11" s="30" t="s">
        <v>48</v>
      </c>
      <c r="J11" s="30" t="s">
        <v>62</v>
      </c>
    </row>
    <row r="12" ht="14.25" customHeight="1">
      <c r="A12" s="30" t="s">
        <v>63</v>
      </c>
      <c r="B12" s="30" t="s">
        <v>64</v>
      </c>
      <c r="C12" s="30" t="s">
        <v>42</v>
      </c>
      <c r="D12" s="30" t="s">
        <v>65</v>
      </c>
      <c r="E12" s="30" t="s">
        <v>66</v>
      </c>
      <c r="F12" s="30" t="s">
        <v>45</v>
      </c>
      <c r="G12" s="30" t="s">
        <v>46</v>
      </c>
      <c r="H12" s="30" t="s">
        <v>47</v>
      </c>
      <c r="I12" s="30" t="s">
        <v>48</v>
      </c>
      <c r="J12" s="30" t="s">
        <v>49</v>
      </c>
    </row>
    <row r="13" ht="14.25" customHeight="1">
      <c r="A13" s="30" t="s">
        <v>67</v>
      </c>
      <c r="B13" s="30" t="s">
        <v>68</v>
      </c>
      <c r="C13" s="30" t="s">
        <v>42</v>
      </c>
      <c r="D13" s="30" t="s">
        <v>69</v>
      </c>
      <c r="E13" s="30" t="s">
        <v>70</v>
      </c>
      <c r="F13" s="30" t="s">
        <v>45</v>
      </c>
      <c r="G13" s="30" t="s">
        <v>46</v>
      </c>
      <c r="H13" s="30" t="s">
        <v>47</v>
      </c>
      <c r="I13" s="30" t="s">
        <v>48</v>
      </c>
      <c r="J13" s="30" t="s">
        <v>49</v>
      </c>
    </row>
    <row r="14" ht="14.25" customHeight="1">
      <c r="A14" s="30" t="s">
        <v>71</v>
      </c>
      <c r="B14" s="30" t="s">
        <v>72</v>
      </c>
      <c r="C14" s="30" t="s">
        <v>42</v>
      </c>
      <c r="D14" s="30" t="s">
        <v>73</v>
      </c>
      <c r="E14" s="30" t="s">
        <v>74</v>
      </c>
      <c r="F14" s="30" t="s">
        <v>45</v>
      </c>
      <c r="G14" s="30" t="s">
        <v>46</v>
      </c>
      <c r="H14" s="30" t="s">
        <v>47</v>
      </c>
      <c r="I14" s="30" t="s">
        <v>48</v>
      </c>
      <c r="J14" s="30" t="s">
        <v>49</v>
      </c>
    </row>
    <row r="15" ht="14.25" customHeight="1">
      <c r="A15" s="30" t="s">
        <v>75</v>
      </c>
      <c r="B15" s="30" t="s">
        <v>76</v>
      </c>
      <c r="C15" s="30" t="s">
        <v>42</v>
      </c>
      <c r="D15" s="30" t="s">
        <v>77</v>
      </c>
      <c r="E15" s="30" t="s">
        <v>78</v>
      </c>
      <c r="F15" s="30" t="s">
        <v>45</v>
      </c>
      <c r="G15" s="30" t="s">
        <v>46</v>
      </c>
      <c r="H15" s="30" t="s">
        <v>47</v>
      </c>
      <c r="I15" s="30" t="s">
        <v>48</v>
      </c>
      <c r="J15" s="30" t="s">
        <v>49</v>
      </c>
    </row>
    <row r="16" ht="14.25" customHeight="1">
      <c r="A16" s="30" t="s">
        <v>79</v>
      </c>
      <c r="B16" s="30" t="s">
        <v>80</v>
      </c>
      <c r="C16" s="30" t="s">
        <v>42</v>
      </c>
      <c r="D16" s="30" t="s">
        <v>81</v>
      </c>
      <c r="E16" s="30" t="s">
        <v>82</v>
      </c>
      <c r="F16" s="30" t="s">
        <v>45</v>
      </c>
      <c r="G16" s="30" t="s">
        <v>46</v>
      </c>
      <c r="H16" s="30" t="s">
        <v>47</v>
      </c>
      <c r="I16" s="30" t="s">
        <v>48</v>
      </c>
      <c r="J16" s="30" t="s">
        <v>49</v>
      </c>
    </row>
    <row r="17" ht="14.25" customHeight="1">
      <c r="A17" s="30" t="s">
        <v>83</v>
      </c>
      <c r="B17" s="30" t="s">
        <v>84</v>
      </c>
      <c r="C17" s="30" t="s">
        <v>42</v>
      </c>
      <c r="D17" s="30" t="s">
        <v>85</v>
      </c>
      <c r="E17" s="30" t="s">
        <v>86</v>
      </c>
      <c r="F17" s="30" t="s">
        <v>45</v>
      </c>
      <c r="G17" s="30" t="s">
        <v>46</v>
      </c>
      <c r="H17" s="30" t="s">
        <v>47</v>
      </c>
      <c r="I17" s="30" t="s">
        <v>48</v>
      </c>
      <c r="J17" s="30" t="s">
        <v>49</v>
      </c>
    </row>
    <row r="18" ht="14.25" customHeight="1">
      <c r="A18" s="30" t="s">
        <v>87</v>
      </c>
      <c r="B18" s="30" t="s">
        <v>88</v>
      </c>
      <c r="C18" s="30" t="s">
        <v>89</v>
      </c>
      <c r="D18" s="30" t="s">
        <v>90</v>
      </c>
      <c r="E18" s="30" t="s">
        <v>91</v>
      </c>
      <c r="F18" s="30" t="s">
        <v>45</v>
      </c>
      <c r="G18" s="30" t="s">
        <v>46</v>
      </c>
      <c r="H18" s="30" t="s">
        <v>47</v>
      </c>
      <c r="I18" s="30" t="s">
        <v>48</v>
      </c>
      <c r="J18" s="30" t="s">
        <v>49</v>
      </c>
    </row>
    <row r="19" ht="14.25" customHeight="1">
      <c r="A19" s="30" t="s">
        <v>92</v>
      </c>
      <c r="B19" s="30" t="s">
        <v>93</v>
      </c>
      <c r="C19" s="30" t="s">
        <v>42</v>
      </c>
      <c r="D19" s="30" t="s">
        <v>94</v>
      </c>
      <c r="E19" s="30" t="s">
        <v>95</v>
      </c>
      <c r="F19" s="30" t="s">
        <v>45</v>
      </c>
      <c r="G19" s="30" t="s">
        <v>46</v>
      </c>
      <c r="H19" s="30" t="s">
        <v>47</v>
      </c>
      <c r="I19" s="30" t="s">
        <v>48</v>
      </c>
      <c r="J19" s="30" t="s">
        <v>49</v>
      </c>
    </row>
    <row r="20" ht="14.25" customHeight="1">
      <c r="A20" s="30" t="s">
        <v>96</v>
      </c>
      <c r="B20" s="30" t="s">
        <v>97</v>
      </c>
      <c r="C20" s="30" t="s">
        <v>98</v>
      </c>
      <c r="D20" s="30" t="s">
        <v>99</v>
      </c>
      <c r="E20" s="30" t="s">
        <v>100</v>
      </c>
      <c r="F20" s="30" t="s">
        <v>45</v>
      </c>
      <c r="G20" s="30" t="s">
        <v>46</v>
      </c>
      <c r="H20" s="30" t="s">
        <v>47</v>
      </c>
      <c r="I20" s="30" t="s">
        <v>48</v>
      </c>
      <c r="J20" s="30" t="s">
        <v>49</v>
      </c>
    </row>
    <row r="21" ht="14.25" customHeight="1">
      <c r="A21" s="30" t="s">
        <v>101</v>
      </c>
      <c r="B21" s="30" t="s">
        <v>102</v>
      </c>
      <c r="C21" s="30" t="s">
        <v>42</v>
      </c>
      <c r="D21" s="30" t="s">
        <v>103</v>
      </c>
      <c r="E21" s="30" t="s">
        <v>104</v>
      </c>
      <c r="F21" s="30" t="s">
        <v>45</v>
      </c>
      <c r="G21" s="30" t="s">
        <v>46</v>
      </c>
      <c r="H21" s="30" t="s">
        <v>47</v>
      </c>
      <c r="I21" s="30" t="s">
        <v>48</v>
      </c>
      <c r="J21" s="30" t="s">
        <v>49</v>
      </c>
    </row>
    <row r="22" ht="14.25" customHeight="1">
      <c r="A22" s="30" t="s">
        <v>105</v>
      </c>
      <c r="B22" s="30" t="s">
        <v>106</v>
      </c>
      <c r="C22" s="30" t="s">
        <v>42</v>
      </c>
      <c r="D22" s="30" t="s">
        <v>107</v>
      </c>
      <c r="E22" s="30" t="s">
        <v>108</v>
      </c>
      <c r="F22" s="30" t="s">
        <v>45</v>
      </c>
      <c r="G22" s="30" t="s">
        <v>46</v>
      </c>
      <c r="H22" s="30" t="s">
        <v>47</v>
      </c>
      <c r="I22" s="30" t="s">
        <v>48</v>
      </c>
      <c r="J22" s="30" t="s">
        <v>49</v>
      </c>
    </row>
    <row r="23" ht="14.25" customHeight="1">
      <c r="A23" s="30" t="s">
        <v>109</v>
      </c>
      <c r="B23" s="30" t="s">
        <v>110</v>
      </c>
      <c r="C23" s="30" t="s">
        <v>42</v>
      </c>
      <c r="D23" s="30" t="s">
        <v>111</v>
      </c>
      <c r="E23" s="30" t="s">
        <v>112</v>
      </c>
      <c r="F23" s="30" t="s">
        <v>45</v>
      </c>
      <c r="G23" s="30" t="s">
        <v>46</v>
      </c>
      <c r="H23" s="30" t="s">
        <v>47</v>
      </c>
      <c r="I23" s="30" t="s">
        <v>48</v>
      </c>
      <c r="J23" s="30" t="s">
        <v>49</v>
      </c>
    </row>
    <row r="24" ht="14.25" customHeight="1">
      <c r="A24" s="30" t="s">
        <v>113</v>
      </c>
      <c r="B24" s="30" t="s">
        <v>114</v>
      </c>
      <c r="C24" s="30" t="s">
        <v>42</v>
      </c>
      <c r="D24" s="30" t="s">
        <v>115</v>
      </c>
      <c r="E24" s="30" t="s">
        <v>116</v>
      </c>
      <c r="F24" s="30" t="s">
        <v>45</v>
      </c>
      <c r="G24" s="30" t="s">
        <v>46</v>
      </c>
      <c r="H24" s="30" t="s">
        <v>47</v>
      </c>
      <c r="I24" s="30" t="s">
        <v>48</v>
      </c>
      <c r="J24" s="30" t="s">
        <v>49</v>
      </c>
    </row>
    <row r="25" ht="14.25" customHeight="1">
      <c r="A25" s="30" t="s">
        <v>117</v>
      </c>
      <c r="B25" s="30" t="s">
        <v>118</v>
      </c>
      <c r="C25" s="30" t="s">
        <v>42</v>
      </c>
      <c r="D25" s="30" t="s">
        <v>119</v>
      </c>
      <c r="E25" s="30" t="s">
        <v>120</v>
      </c>
      <c r="F25" s="30" t="s">
        <v>45</v>
      </c>
      <c r="G25" s="30" t="s">
        <v>46</v>
      </c>
      <c r="H25" s="30" t="s">
        <v>47</v>
      </c>
      <c r="I25" s="30" t="s">
        <v>48</v>
      </c>
      <c r="J25" s="30" t="s">
        <v>49</v>
      </c>
    </row>
    <row r="26" ht="14.25" customHeight="1">
      <c r="A26" s="30" t="s">
        <v>121</v>
      </c>
      <c r="B26" s="30" t="s">
        <v>122</v>
      </c>
      <c r="C26" s="30" t="s">
        <v>123</v>
      </c>
      <c r="D26" s="30" t="s">
        <v>124</v>
      </c>
      <c r="E26" s="30" t="s">
        <v>125</v>
      </c>
      <c r="F26" s="30" t="s">
        <v>45</v>
      </c>
      <c r="G26" s="30" t="s">
        <v>46</v>
      </c>
      <c r="H26" s="30" t="s">
        <v>47</v>
      </c>
      <c r="I26" s="30" t="s">
        <v>48</v>
      </c>
      <c r="J26" s="30" t="s">
        <v>49</v>
      </c>
    </row>
    <row r="27" ht="14.25" customHeight="1">
      <c r="A27" s="30" t="s">
        <v>126</v>
      </c>
      <c r="B27" s="30" t="s">
        <v>127</v>
      </c>
      <c r="C27" s="30" t="s">
        <v>42</v>
      </c>
      <c r="D27" s="30" t="s">
        <v>128</v>
      </c>
      <c r="E27" s="30" t="s">
        <v>129</v>
      </c>
      <c r="F27" s="30" t="s">
        <v>45</v>
      </c>
      <c r="G27" s="30" t="s">
        <v>46</v>
      </c>
      <c r="H27" s="30" t="s">
        <v>47</v>
      </c>
      <c r="I27" s="30" t="s">
        <v>48</v>
      </c>
      <c r="J27" s="30" t="s">
        <v>49</v>
      </c>
    </row>
    <row r="28" ht="14.25" customHeight="1">
      <c r="A28" s="30" t="s">
        <v>130</v>
      </c>
      <c r="B28" s="30" t="s">
        <v>131</v>
      </c>
      <c r="C28" s="30" t="s">
        <v>42</v>
      </c>
      <c r="D28" s="30" t="s">
        <v>132</v>
      </c>
      <c r="E28" s="30" t="s">
        <v>133</v>
      </c>
      <c r="F28" s="30" t="s">
        <v>45</v>
      </c>
      <c r="G28" s="30" t="s">
        <v>46</v>
      </c>
      <c r="H28" s="30" t="s">
        <v>47</v>
      </c>
      <c r="I28" s="30" t="s">
        <v>48</v>
      </c>
      <c r="J28" s="30" t="s">
        <v>49</v>
      </c>
    </row>
    <row r="29" ht="14.25" customHeight="1">
      <c r="A29" s="30" t="s">
        <v>134</v>
      </c>
      <c r="B29" s="30" t="s">
        <v>135</v>
      </c>
      <c r="C29" s="30" t="s">
        <v>42</v>
      </c>
      <c r="D29" s="30" t="s">
        <v>136</v>
      </c>
      <c r="E29" s="30" t="s">
        <v>137</v>
      </c>
      <c r="F29" s="30" t="s">
        <v>45</v>
      </c>
      <c r="G29" s="30" t="s">
        <v>46</v>
      </c>
      <c r="H29" s="30" t="s">
        <v>47</v>
      </c>
      <c r="I29" s="30" t="s">
        <v>48</v>
      </c>
      <c r="J29" s="30" t="s">
        <v>49</v>
      </c>
    </row>
    <row r="30" ht="14.25" customHeight="1">
      <c r="A30" s="30" t="s">
        <v>138</v>
      </c>
      <c r="B30" s="30" t="s">
        <v>139</v>
      </c>
      <c r="C30" s="30" t="s">
        <v>98</v>
      </c>
      <c r="D30" s="30" t="s">
        <v>140</v>
      </c>
      <c r="E30" s="30" t="s">
        <v>141</v>
      </c>
      <c r="F30" s="30" t="s">
        <v>45</v>
      </c>
      <c r="G30" s="30" t="s">
        <v>46</v>
      </c>
      <c r="H30" s="30" t="s">
        <v>47</v>
      </c>
      <c r="I30" s="30" t="s">
        <v>48</v>
      </c>
      <c r="J30" s="30" t="s">
        <v>49</v>
      </c>
    </row>
    <row r="31" ht="14.25" customHeight="1">
      <c r="A31" s="30" t="s">
        <v>142</v>
      </c>
      <c r="B31" s="30" t="s">
        <v>143</v>
      </c>
      <c r="C31" s="30" t="s">
        <v>42</v>
      </c>
      <c r="D31" s="30" t="s">
        <v>144</v>
      </c>
      <c r="E31" s="30" t="s">
        <v>145</v>
      </c>
      <c r="F31" s="30" t="s">
        <v>45</v>
      </c>
      <c r="G31" s="30" t="s">
        <v>46</v>
      </c>
      <c r="H31" s="30" t="s">
        <v>47</v>
      </c>
      <c r="I31" s="30" t="s">
        <v>48</v>
      </c>
      <c r="J31" s="30" t="s">
        <v>49</v>
      </c>
    </row>
    <row r="32" ht="14.25" customHeight="1">
      <c r="A32" s="30" t="s">
        <v>146</v>
      </c>
      <c r="B32" s="30" t="s">
        <v>147</v>
      </c>
      <c r="C32" s="30" t="s">
        <v>42</v>
      </c>
      <c r="D32" s="30" t="s">
        <v>148</v>
      </c>
      <c r="E32" s="30" t="s">
        <v>149</v>
      </c>
      <c r="F32" s="30" t="s">
        <v>45</v>
      </c>
      <c r="G32" s="30" t="s">
        <v>46</v>
      </c>
      <c r="H32" s="30" t="s">
        <v>47</v>
      </c>
      <c r="I32" s="30" t="s">
        <v>48</v>
      </c>
      <c r="J32" s="30" t="s">
        <v>49</v>
      </c>
    </row>
    <row r="33" ht="14.25" customHeight="1">
      <c r="A33" s="30" t="s">
        <v>150</v>
      </c>
      <c r="B33" s="30" t="s">
        <v>151</v>
      </c>
      <c r="C33" s="30" t="s">
        <v>42</v>
      </c>
      <c r="D33" s="30" t="s">
        <v>152</v>
      </c>
      <c r="E33" s="30" t="s">
        <v>153</v>
      </c>
      <c r="F33" s="30" t="s">
        <v>45</v>
      </c>
      <c r="G33" s="30" t="s">
        <v>46</v>
      </c>
      <c r="H33" s="30" t="s">
        <v>47</v>
      </c>
      <c r="I33" s="30" t="s">
        <v>48</v>
      </c>
      <c r="J33" s="30" t="s">
        <v>49</v>
      </c>
    </row>
    <row r="34" ht="14.25" customHeight="1">
      <c r="A34" s="30" t="s">
        <v>154</v>
      </c>
      <c r="B34" s="30" t="s">
        <v>155</v>
      </c>
      <c r="C34" s="30" t="s">
        <v>42</v>
      </c>
      <c r="D34" s="30" t="s">
        <v>156</v>
      </c>
      <c r="E34" s="30" t="s">
        <v>157</v>
      </c>
      <c r="F34" s="30" t="s">
        <v>45</v>
      </c>
      <c r="G34" s="30" t="s">
        <v>46</v>
      </c>
      <c r="H34" s="30" t="s">
        <v>47</v>
      </c>
      <c r="I34" s="30" t="s">
        <v>48</v>
      </c>
      <c r="J34" s="30" t="s">
        <v>49</v>
      </c>
    </row>
    <row r="35" ht="14.25" customHeight="1">
      <c r="A35" s="30" t="s">
        <v>158</v>
      </c>
      <c r="B35" s="30" t="s">
        <v>159</v>
      </c>
      <c r="C35" s="30" t="s">
        <v>42</v>
      </c>
      <c r="D35" s="30" t="s">
        <v>160</v>
      </c>
      <c r="E35" s="30" t="s">
        <v>161</v>
      </c>
      <c r="F35" s="30" t="s">
        <v>45</v>
      </c>
      <c r="G35" s="30" t="s">
        <v>46</v>
      </c>
      <c r="H35" s="30" t="s">
        <v>47</v>
      </c>
      <c r="I35" s="30" t="s">
        <v>48</v>
      </c>
      <c r="J35" s="30" t="s">
        <v>49</v>
      </c>
    </row>
    <row r="36" ht="14.25" customHeight="1">
      <c r="A36" s="30" t="s">
        <v>162</v>
      </c>
      <c r="B36" s="30" t="s">
        <v>163</v>
      </c>
      <c r="C36" s="30" t="s">
        <v>42</v>
      </c>
      <c r="D36" s="30" t="s">
        <v>164</v>
      </c>
      <c r="E36" s="30" t="s">
        <v>165</v>
      </c>
      <c r="F36" s="30" t="s">
        <v>45</v>
      </c>
      <c r="G36" s="30" t="s">
        <v>46</v>
      </c>
      <c r="H36" s="30" t="s">
        <v>47</v>
      </c>
      <c r="I36" s="30" t="s">
        <v>48</v>
      </c>
      <c r="J36" s="30" t="s">
        <v>49</v>
      </c>
    </row>
    <row r="37" ht="14.25" customHeight="1">
      <c r="A37" s="30" t="s">
        <v>166</v>
      </c>
      <c r="B37" s="30" t="s">
        <v>167</v>
      </c>
      <c r="C37" s="30" t="s">
        <v>98</v>
      </c>
      <c r="D37" s="30" t="s">
        <v>168</v>
      </c>
      <c r="E37" s="30" t="s">
        <v>169</v>
      </c>
      <c r="F37" s="30" t="s">
        <v>45</v>
      </c>
      <c r="G37" s="30" t="s">
        <v>46</v>
      </c>
      <c r="H37" s="30" t="s">
        <v>47</v>
      </c>
      <c r="I37" s="30" t="s">
        <v>48</v>
      </c>
      <c r="J37" s="30" t="s">
        <v>49</v>
      </c>
    </row>
    <row r="38" ht="14.25" customHeight="1">
      <c r="A38" s="30" t="s">
        <v>170</v>
      </c>
      <c r="B38" s="30" t="s">
        <v>171</v>
      </c>
      <c r="C38" s="30" t="s">
        <v>98</v>
      </c>
      <c r="D38" s="30" t="s">
        <v>172</v>
      </c>
      <c r="E38" s="30" t="s">
        <v>173</v>
      </c>
      <c r="F38" s="30" t="s">
        <v>45</v>
      </c>
      <c r="G38" s="30" t="s">
        <v>46</v>
      </c>
      <c r="H38" s="30" t="s">
        <v>47</v>
      </c>
      <c r="I38" s="30" t="s">
        <v>48</v>
      </c>
      <c r="J38" s="30" t="s">
        <v>49</v>
      </c>
    </row>
    <row r="39" ht="14.25" customHeight="1">
      <c r="A39" s="30" t="s">
        <v>174</v>
      </c>
      <c r="B39" s="30" t="s">
        <v>175</v>
      </c>
      <c r="C39" s="30" t="s">
        <v>98</v>
      </c>
      <c r="D39" s="30" t="s">
        <v>176</v>
      </c>
      <c r="E39" s="30" t="s">
        <v>177</v>
      </c>
      <c r="F39" s="30" t="s">
        <v>45</v>
      </c>
      <c r="G39" s="30" t="s">
        <v>46</v>
      </c>
      <c r="H39" s="30" t="s">
        <v>47</v>
      </c>
      <c r="I39" s="30" t="s">
        <v>48</v>
      </c>
      <c r="J39" s="30" t="s">
        <v>49</v>
      </c>
    </row>
    <row r="40" ht="14.25" customHeight="1">
      <c r="A40" s="30" t="s">
        <v>178</v>
      </c>
      <c r="B40" s="30" t="s">
        <v>179</v>
      </c>
      <c r="C40" s="30" t="s">
        <v>98</v>
      </c>
      <c r="D40" s="30" t="s">
        <v>180</v>
      </c>
      <c r="E40" s="30" t="s">
        <v>181</v>
      </c>
      <c r="F40" s="30" t="s">
        <v>45</v>
      </c>
      <c r="G40" s="30" t="s">
        <v>46</v>
      </c>
      <c r="H40" s="30" t="s">
        <v>47</v>
      </c>
      <c r="I40" s="30" t="s">
        <v>48</v>
      </c>
      <c r="J40" s="30" t="s">
        <v>49</v>
      </c>
    </row>
    <row r="41" ht="14.25" customHeight="1">
      <c r="A41" s="30" t="s">
        <v>182</v>
      </c>
      <c r="B41" s="30" t="s">
        <v>183</v>
      </c>
      <c r="C41" s="30" t="s">
        <v>42</v>
      </c>
      <c r="D41" s="30" t="s">
        <v>184</v>
      </c>
      <c r="E41" s="30" t="s">
        <v>185</v>
      </c>
      <c r="F41" s="30" t="s">
        <v>45</v>
      </c>
      <c r="G41" s="30" t="s">
        <v>46</v>
      </c>
      <c r="H41" s="30" t="s">
        <v>47</v>
      </c>
      <c r="I41" s="30" t="s">
        <v>48</v>
      </c>
      <c r="J41" s="30" t="s">
        <v>62</v>
      </c>
    </row>
    <row r="42" ht="14.25" customHeight="1">
      <c r="A42" s="30" t="s">
        <v>186</v>
      </c>
      <c r="B42" s="30" t="s">
        <v>187</v>
      </c>
      <c r="C42" s="30" t="s">
        <v>42</v>
      </c>
      <c r="D42" s="30" t="s">
        <v>188</v>
      </c>
      <c r="E42" s="30" t="s">
        <v>189</v>
      </c>
      <c r="F42" s="30" t="s">
        <v>45</v>
      </c>
      <c r="G42" s="30" t="s">
        <v>46</v>
      </c>
      <c r="H42" s="30" t="s">
        <v>47</v>
      </c>
      <c r="I42" s="30" t="s">
        <v>48</v>
      </c>
      <c r="J42" s="30" t="s">
        <v>49</v>
      </c>
    </row>
    <row r="43" ht="14.25" customHeight="1">
      <c r="A43" s="30" t="s">
        <v>190</v>
      </c>
      <c r="B43" s="30" t="s">
        <v>191</v>
      </c>
      <c r="C43" s="30" t="s">
        <v>98</v>
      </c>
      <c r="D43" s="30" t="s">
        <v>192</v>
      </c>
      <c r="E43" s="30" t="s">
        <v>193</v>
      </c>
      <c r="F43" s="30" t="s">
        <v>45</v>
      </c>
      <c r="G43" s="30" t="s">
        <v>46</v>
      </c>
      <c r="H43" s="30" t="s">
        <v>47</v>
      </c>
      <c r="I43" s="30" t="s">
        <v>48</v>
      </c>
      <c r="J43" s="30" t="s">
        <v>49</v>
      </c>
    </row>
    <row r="44" ht="14.25" customHeight="1">
      <c r="A44" s="30" t="s">
        <v>194</v>
      </c>
      <c r="B44" s="30" t="s">
        <v>195</v>
      </c>
      <c r="C44" s="30" t="s">
        <v>98</v>
      </c>
      <c r="D44" s="30" t="s">
        <v>196</v>
      </c>
      <c r="E44" s="30" t="s">
        <v>197</v>
      </c>
      <c r="F44" s="30" t="s">
        <v>45</v>
      </c>
      <c r="G44" s="30" t="s">
        <v>46</v>
      </c>
      <c r="H44" s="30" t="s">
        <v>47</v>
      </c>
      <c r="I44" s="30" t="s">
        <v>48</v>
      </c>
      <c r="J44" s="30" t="s">
        <v>49</v>
      </c>
    </row>
    <row r="45" ht="14.25" customHeight="1">
      <c r="A45" s="30" t="s">
        <v>198</v>
      </c>
      <c r="B45" s="30" t="s">
        <v>199</v>
      </c>
      <c r="C45" s="30" t="s">
        <v>98</v>
      </c>
      <c r="D45" s="30" t="s">
        <v>200</v>
      </c>
      <c r="E45" s="30" t="s">
        <v>201</v>
      </c>
      <c r="F45" s="30" t="s">
        <v>45</v>
      </c>
      <c r="G45" s="30" t="s">
        <v>46</v>
      </c>
      <c r="H45" s="30" t="s">
        <v>47</v>
      </c>
      <c r="I45" s="30" t="s">
        <v>48</v>
      </c>
      <c r="J45" s="30" t="s">
        <v>49</v>
      </c>
    </row>
    <row r="46" ht="14.25" customHeight="1">
      <c r="A46" s="30" t="s">
        <v>202</v>
      </c>
      <c r="B46" s="30" t="s">
        <v>203</v>
      </c>
      <c r="C46" s="30" t="s">
        <v>98</v>
      </c>
      <c r="D46" s="30" t="s">
        <v>204</v>
      </c>
      <c r="E46" s="30" t="s">
        <v>205</v>
      </c>
      <c r="F46" s="30" t="s">
        <v>45</v>
      </c>
      <c r="G46" s="30" t="s">
        <v>46</v>
      </c>
      <c r="H46" s="30" t="s">
        <v>47</v>
      </c>
      <c r="I46" s="30" t="s">
        <v>48</v>
      </c>
      <c r="J46" s="30" t="s">
        <v>49</v>
      </c>
    </row>
    <row r="47" ht="14.25" customHeight="1">
      <c r="A47" s="30" t="s">
        <v>206</v>
      </c>
      <c r="B47" s="30" t="s">
        <v>207</v>
      </c>
      <c r="C47" s="30" t="s">
        <v>98</v>
      </c>
      <c r="D47" s="30" t="s">
        <v>208</v>
      </c>
      <c r="E47" s="30" t="s">
        <v>209</v>
      </c>
      <c r="F47" s="30" t="s">
        <v>45</v>
      </c>
      <c r="G47" s="30" t="s">
        <v>46</v>
      </c>
      <c r="H47" s="30" t="s">
        <v>47</v>
      </c>
      <c r="I47" s="30" t="s">
        <v>48</v>
      </c>
      <c r="J47" s="30" t="s">
        <v>49</v>
      </c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J1"/>
    <mergeCell ref="A2:J2"/>
    <mergeCell ref="A3:J3"/>
    <mergeCell ref="A4:J4"/>
    <mergeCell ref="A5:J5"/>
    <mergeCell ref="A6:J6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14"/>
    <col customWidth="1" min="3" max="3" width="31.86"/>
  </cols>
  <sheetData>
    <row r="2">
      <c r="B2" s="1" t="s">
        <v>1</v>
      </c>
    </row>
    <row r="5">
      <c r="A5" s="5" t="s">
        <v>4</v>
      </c>
      <c r="B5" s="7" t="s">
        <v>6</v>
      </c>
      <c r="C5" s="8" t="s">
        <v>7</v>
      </c>
      <c r="D5" s="10" t="s">
        <v>11</v>
      </c>
      <c r="E5" s="10" t="s">
        <v>15</v>
      </c>
      <c r="F5" s="10" t="s">
        <v>18</v>
      </c>
      <c r="G5" s="10" t="s">
        <v>19</v>
      </c>
      <c r="I5" s="15" t="s">
        <v>21</v>
      </c>
      <c r="J5" s="15" t="s">
        <v>25</v>
      </c>
      <c r="K5" s="15" t="s">
        <v>27</v>
      </c>
      <c r="L5" s="15" t="s">
        <v>28</v>
      </c>
      <c r="M5" s="15" t="s">
        <v>31</v>
      </c>
    </row>
    <row r="6">
      <c r="A6" s="13">
        <v>1.0</v>
      </c>
      <c r="B6" s="16" t="s">
        <v>22</v>
      </c>
      <c r="C6" s="20" t="s">
        <v>30</v>
      </c>
      <c r="D6" s="22">
        <v>6.0</v>
      </c>
      <c r="E6" s="23"/>
      <c r="F6" s="26">
        <v>8.0</v>
      </c>
      <c r="G6" s="26">
        <v>1.0</v>
      </c>
      <c r="I6" s="31">
        <f t="shared" ref="I6:J6" si="1">D6*(15/20)</f>
        <v>4.5</v>
      </c>
      <c r="J6" s="31">
        <f t="shared" si="1"/>
        <v>0</v>
      </c>
      <c r="K6" s="31">
        <f t="shared" ref="K6:K45" si="3">F6</f>
        <v>8</v>
      </c>
      <c r="L6" s="31">
        <f t="shared" ref="L6:L45" si="4">G6*(15/20)</f>
        <v>0.75</v>
      </c>
      <c r="M6" s="38">
        <f t="shared" ref="M6:M45" si="5">(LARGE(I6:L6,1)+LARGE(I6:L6,2)+LARGE(I6:L6,3))/3</f>
        <v>4.416666667</v>
      </c>
    </row>
    <row r="7">
      <c r="A7" s="33">
        <f t="shared" ref="A7:A45" si="6">A6+1</f>
        <v>2</v>
      </c>
      <c r="B7" s="20" t="s">
        <v>50</v>
      </c>
      <c r="C7" s="20" t="s">
        <v>51</v>
      </c>
      <c r="D7" s="40">
        <v>10.0</v>
      </c>
      <c r="E7" s="41">
        <v>3.0</v>
      </c>
      <c r="F7" s="42">
        <v>7.0</v>
      </c>
      <c r="G7" s="42">
        <v>7.0</v>
      </c>
      <c r="I7" s="31">
        <f t="shared" ref="I7:J7" si="2">D7*(15/20)</f>
        <v>7.5</v>
      </c>
      <c r="J7" s="31">
        <f t="shared" si="2"/>
        <v>2.25</v>
      </c>
      <c r="K7" s="31">
        <f t="shared" si="3"/>
        <v>7</v>
      </c>
      <c r="L7" s="31">
        <f t="shared" si="4"/>
        <v>5.25</v>
      </c>
      <c r="M7" s="38">
        <f t="shared" si="5"/>
        <v>6.583333333</v>
      </c>
    </row>
    <row r="8">
      <c r="A8" s="33">
        <f t="shared" si="6"/>
        <v>3</v>
      </c>
      <c r="B8" s="20" t="s">
        <v>54</v>
      </c>
      <c r="C8" s="20" t="s">
        <v>55</v>
      </c>
      <c r="D8" s="41">
        <v>6.0</v>
      </c>
      <c r="E8" s="44"/>
      <c r="F8" s="42">
        <v>15.0</v>
      </c>
      <c r="G8" s="42">
        <v>10.0</v>
      </c>
      <c r="I8" s="31">
        <f t="shared" ref="I8:J8" si="7">D8*(15/20)</f>
        <v>4.5</v>
      </c>
      <c r="J8" s="31">
        <f t="shared" si="7"/>
        <v>0</v>
      </c>
      <c r="K8" s="31">
        <f t="shared" si="3"/>
        <v>15</v>
      </c>
      <c r="L8" s="31">
        <f t="shared" si="4"/>
        <v>7.5</v>
      </c>
      <c r="M8" s="38">
        <f t="shared" si="5"/>
        <v>9</v>
      </c>
    </row>
    <row r="9">
      <c r="A9" s="33">
        <f t="shared" si="6"/>
        <v>4</v>
      </c>
      <c r="B9" s="20" t="s">
        <v>58</v>
      </c>
      <c r="C9" s="20" t="s">
        <v>59</v>
      </c>
      <c r="D9" s="44"/>
      <c r="E9" s="44"/>
      <c r="F9" s="45"/>
      <c r="G9" s="45"/>
      <c r="I9" s="31">
        <f t="shared" ref="I9:J9" si="8">D9*(15/20)</f>
        <v>0</v>
      </c>
      <c r="J9" s="31">
        <f t="shared" si="8"/>
        <v>0</v>
      </c>
      <c r="K9" s="31" t="str">
        <f t="shared" si="3"/>
        <v/>
      </c>
      <c r="L9" s="31">
        <f t="shared" si="4"/>
        <v>0</v>
      </c>
      <c r="M9" s="38">
        <f t="shared" si="5"/>
        <v>0</v>
      </c>
    </row>
    <row r="10">
      <c r="A10" s="33">
        <f t="shared" si="6"/>
        <v>5</v>
      </c>
      <c r="B10" s="20" t="s">
        <v>63</v>
      </c>
      <c r="C10" s="20" t="s">
        <v>64</v>
      </c>
      <c r="D10" s="41">
        <v>5.0</v>
      </c>
      <c r="E10" s="41">
        <v>6.0</v>
      </c>
      <c r="F10" s="42">
        <v>8.0</v>
      </c>
      <c r="G10" s="42">
        <v>5.0</v>
      </c>
      <c r="I10" s="31">
        <f t="shared" ref="I10:J10" si="9">D10*(15/20)</f>
        <v>3.75</v>
      </c>
      <c r="J10" s="31">
        <f t="shared" si="9"/>
        <v>4.5</v>
      </c>
      <c r="K10" s="31">
        <f t="shared" si="3"/>
        <v>8</v>
      </c>
      <c r="L10" s="31">
        <f t="shared" si="4"/>
        <v>3.75</v>
      </c>
      <c r="M10" s="38">
        <f t="shared" si="5"/>
        <v>5.416666667</v>
      </c>
    </row>
    <row r="11">
      <c r="A11" s="33">
        <f t="shared" si="6"/>
        <v>6</v>
      </c>
      <c r="B11" s="20" t="s">
        <v>67</v>
      </c>
      <c r="C11" s="20" t="s">
        <v>68</v>
      </c>
      <c r="D11" s="41">
        <v>7.0</v>
      </c>
      <c r="E11" s="41">
        <v>13.0</v>
      </c>
      <c r="F11" s="42">
        <v>5.0</v>
      </c>
      <c r="G11" s="42">
        <v>18.0</v>
      </c>
      <c r="I11" s="31">
        <f t="shared" ref="I11:J11" si="10">D11*(15/20)</f>
        <v>5.25</v>
      </c>
      <c r="J11" s="31">
        <f t="shared" si="10"/>
        <v>9.75</v>
      </c>
      <c r="K11" s="31">
        <f t="shared" si="3"/>
        <v>5</v>
      </c>
      <c r="L11" s="31">
        <f t="shared" si="4"/>
        <v>13.5</v>
      </c>
      <c r="M11" s="38">
        <f t="shared" si="5"/>
        <v>9.5</v>
      </c>
    </row>
    <row r="12">
      <c r="A12" s="33">
        <f t="shared" si="6"/>
        <v>7</v>
      </c>
      <c r="B12" s="20" t="s">
        <v>71</v>
      </c>
      <c r="C12" s="20" t="s">
        <v>72</v>
      </c>
      <c r="D12" s="41">
        <v>5.0</v>
      </c>
      <c r="E12" s="44"/>
      <c r="F12" s="45"/>
      <c r="G12" s="42">
        <v>11.0</v>
      </c>
      <c r="I12" s="31">
        <f t="shared" ref="I12:J12" si="11">D12*(15/20)</f>
        <v>3.75</v>
      </c>
      <c r="J12" s="31">
        <f t="shared" si="11"/>
        <v>0</v>
      </c>
      <c r="K12" s="31" t="str">
        <f t="shared" si="3"/>
        <v/>
      </c>
      <c r="L12" s="31">
        <f t="shared" si="4"/>
        <v>8.25</v>
      </c>
      <c r="M12" s="38">
        <f t="shared" si="5"/>
        <v>4</v>
      </c>
    </row>
    <row r="13">
      <c r="A13" s="33">
        <f t="shared" si="6"/>
        <v>8</v>
      </c>
      <c r="B13" s="20" t="s">
        <v>75</v>
      </c>
      <c r="C13" s="20" t="s">
        <v>76</v>
      </c>
      <c r="D13" s="40">
        <v>19.0</v>
      </c>
      <c r="E13" s="41">
        <v>17.0</v>
      </c>
      <c r="F13" s="42">
        <v>15.0</v>
      </c>
      <c r="G13" s="42">
        <v>14.0</v>
      </c>
      <c r="I13" s="31">
        <f t="shared" ref="I13:J13" si="12">D13*(15/20)</f>
        <v>14.25</v>
      </c>
      <c r="J13" s="31">
        <f t="shared" si="12"/>
        <v>12.75</v>
      </c>
      <c r="K13" s="31">
        <f t="shared" si="3"/>
        <v>15</v>
      </c>
      <c r="L13" s="31">
        <f t="shared" si="4"/>
        <v>10.5</v>
      </c>
      <c r="M13" s="38">
        <f t="shared" si="5"/>
        <v>14</v>
      </c>
    </row>
    <row r="14">
      <c r="A14" s="33">
        <f t="shared" si="6"/>
        <v>9</v>
      </c>
      <c r="B14" s="20" t="s">
        <v>79</v>
      </c>
      <c r="C14" s="20" t="s">
        <v>80</v>
      </c>
      <c r="D14" s="41">
        <v>9.0</v>
      </c>
      <c r="E14" s="44"/>
      <c r="F14" s="42">
        <v>14.0</v>
      </c>
      <c r="G14" s="42">
        <v>9.0</v>
      </c>
      <c r="I14" s="31">
        <f t="shared" ref="I14:J14" si="13">D14*(15/20)</f>
        <v>6.75</v>
      </c>
      <c r="J14" s="31">
        <f t="shared" si="13"/>
        <v>0</v>
      </c>
      <c r="K14" s="31">
        <f t="shared" si="3"/>
        <v>14</v>
      </c>
      <c r="L14" s="31">
        <f t="shared" si="4"/>
        <v>6.75</v>
      </c>
      <c r="M14" s="38">
        <f t="shared" si="5"/>
        <v>9.166666667</v>
      </c>
    </row>
    <row r="15">
      <c r="A15" s="33">
        <f t="shared" si="6"/>
        <v>10</v>
      </c>
      <c r="B15" s="20" t="s">
        <v>83</v>
      </c>
      <c r="C15" s="20" t="s">
        <v>84</v>
      </c>
      <c r="D15" s="41">
        <v>17.0</v>
      </c>
      <c r="E15" s="41">
        <v>13.0</v>
      </c>
      <c r="F15" s="42">
        <v>14.0</v>
      </c>
      <c r="G15" s="45"/>
      <c r="I15" s="31">
        <f t="shared" ref="I15:J15" si="14">D15*(15/20)</f>
        <v>12.75</v>
      </c>
      <c r="J15" s="31">
        <f t="shared" si="14"/>
        <v>9.75</v>
      </c>
      <c r="K15" s="31">
        <f t="shared" si="3"/>
        <v>14</v>
      </c>
      <c r="L15" s="31">
        <f t="shared" si="4"/>
        <v>0</v>
      </c>
      <c r="M15" s="38">
        <f t="shared" si="5"/>
        <v>12.16666667</v>
      </c>
    </row>
    <row r="16">
      <c r="A16" s="33">
        <f t="shared" si="6"/>
        <v>11</v>
      </c>
      <c r="B16" s="20" t="s">
        <v>87</v>
      </c>
      <c r="C16" s="20" t="s">
        <v>88</v>
      </c>
      <c r="D16" s="44"/>
      <c r="E16" s="44"/>
      <c r="F16" s="45"/>
      <c r="G16" s="45"/>
      <c r="I16" s="31">
        <f t="shared" ref="I16:J16" si="15">D16*(15/20)</f>
        <v>0</v>
      </c>
      <c r="J16" s="31">
        <f t="shared" si="15"/>
        <v>0</v>
      </c>
      <c r="K16" s="31" t="str">
        <f t="shared" si="3"/>
        <v/>
      </c>
      <c r="L16" s="31">
        <f t="shared" si="4"/>
        <v>0</v>
      </c>
      <c r="M16" s="38">
        <f t="shared" si="5"/>
        <v>0</v>
      </c>
    </row>
    <row r="17">
      <c r="A17" s="33">
        <f t="shared" si="6"/>
        <v>12</v>
      </c>
      <c r="B17" s="20" t="s">
        <v>92</v>
      </c>
      <c r="C17" s="20" t="s">
        <v>93</v>
      </c>
      <c r="D17" s="40">
        <v>19.0</v>
      </c>
      <c r="E17" s="41">
        <v>8.0</v>
      </c>
      <c r="F17" s="42">
        <v>14.0</v>
      </c>
      <c r="G17" s="42">
        <v>11.0</v>
      </c>
      <c r="I17" s="31">
        <f t="shared" ref="I17:J17" si="16">D17*(15/20)</f>
        <v>14.25</v>
      </c>
      <c r="J17" s="31">
        <f t="shared" si="16"/>
        <v>6</v>
      </c>
      <c r="K17" s="31">
        <f t="shared" si="3"/>
        <v>14</v>
      </c>
      <c r="L17" s="31">
        <f t="shared" si="4"/>
        <v>8.25</v>
      </c>
      <c r="M17" s="38">
        <f t="shared" si="5"/>
        <v>12.16666667</v>
      </c>
    </row>
    <row r="18">
      <c r="A18" s="33">
        <f t="shared" si="6"/>
        <v>13</v>
      </c>
      <c r="B18" s="20" t="s">
        <v>96</v>
      </c>
      <c r="C18" s="20" t="s">
        <v>97</v>
      </c>
      <c r="D18" s="41">
        <v>18.0</v>
      </c>
      <c r="E18" s="40">
        <v>19.0</v>
      </c>
      <c r="F18" s="42">
        <v>14.0</v>
      </c>
      <c r="G18" s="42">
        <v>15.0</v>
      </c>
      <c r="I18" s="31">
        <f t="shared" ref="I18:J18" si="17">D18*(15/20)</f>
        <v>13.5</v>
      </c>
      <c r="J18" s="31">
        <f t="shared" si="17"/>
        <v>14.25</v>
      </c>
      <c r="K18" s="31">
        <f t="shared" si="3"/>
        <v>14</v>
      </c>
      <c r="L18" s="31">
        <f t="shared" si="4"/>
        <v>11.25</v>
      </c>
      <c r="M18" s="38">
        <f t="shared" si="5"/>
        <v>13.91666667</v>
      </c>
    </row>
    <row r="19">
      <c r="A19" s="33">
        <f t="shared" si="6"/>
        <v>14</v>
      </c>
      <c r="B19" s="20" t="s">
        <v>101</v>
      </c>
      <c r="C19" s="20" t="s">
        <v>102</v>
      </c>
      <c r="D19" s="41">
        <v>10.0</v>
      </c>
      <c r="E19" s="41">
        <v>8.0</v>
      </c>
      <c r="F19" s="42">
        <v>12.0</v>
      </c>
      <c r="G19" s="42">
        <v>15.0</v>
      </c>
      <c r="I19" s="31">
        <f t="shared" ref="I19:J19" si="18">D19*(15/20)</f>
        <v>7.5</v>
      </c>
      <c r="J19" s="31">
        <f t="shared" si="18"/>
        <v>6</v>
      </c>
      <c r="K19" s="31">
        <f t="shared" si="3"/>
        <v>12</v>
      </c>
      <c r="L19" s="31">
        <f t="shared" si="4"/>
        <v>11.25</v>
      </c>
      <c r="M19" s="38">
        <f t="shared" si="5"/>
        <v>10.25</v>
      </c>
    </row>
    <row r="20">
      <c r="A20" s="33">
        <f t="shared" si="6"/>
        <v>15</v>
      </c>
      <c r="B20" s="20" t="s">
        <v>105</v>
      </c>
      <c r="C20" s="20" t="s">
        <v>106</v>
      </c>
      <c r="D20" s="41">
        <v>15.0</v>
      </c>
      <c r="E20" s="41">
        <v>13.0</v>
      </c>
      <c r="F20" s="42">
        <v>12.0</v>
      </c>
      <c r="G20" s="47">
        <v>10.0</v>
      </c>
      <c r="I20" s="31">
        <f t="shared" ref="I20:J20" si="19">D20*(15/20)</f>
        <v>11.25</v>
      </c>
      <c r="J20" s="31">
        <f t="shared" si="19"/>
        <v>9.75</v>
      </c>
      <c r="K20" s="31">
        <f t="shared" si="3"/>
        <v>12</v>
      </c>
      <c r="L20" s="31">
        <f t="shared" si="4"/>
        <v>7.5</v>
      </c>
      <c r="M20" s="38">
        <f t="shared" si="5"/>
        <v>11</v>
      </c>
    </row>
    <row r="21">
      <c r="A21" s="33">
        <f t="shared" si="6"/>
        <v>16</v>
      </c>
      <c r="B21" s="20" t="s">
        <v>109</v>
      </c>
      <c r="C21" s="20" t="s">
        <v>110</v>
      </c>
      <c r="D21" s="41">
        <v>16.0</v>
      </c>
      <c r="E21" s="41">
        <v>10.0</v>
      </c>
      <c r="F21" s="42">
        <v>12.0</v>
      </c>
      <c r="G21" s="42">
        <v>11.0</v>
      </c>
      <c r="I21" s="31">
        <f t="shared" ref="I21:J21" si="20">D21*(15/20)</f>
        <v>12</v>
      </c>
      <c r="J21" s="31">
        <f t="shared" si="20"/>
        <v>7.5</v>
      </c>
      <c r="K21" s="31">
        <f t="shared" si="3"/>
        <v>12</v>
      </c>
      <c r="L21" s="31">
        <f t="shared" si="4"/>
        <v>8.25</v>
      </c>
      <c r="M21" s="38">
        <f t="shared" si="5"/>
        <v>10.75</v>
      </c>
    </row>
    <row r="22">
      <c r="A22" s="33">
        <f t="shared" si="6"/>
        <v>17</v>
      </c>
      <c r="B22" s="20" t="s">
        <v>113</v>
      </c>
      <c r="C22" s="20" t="s">
        <v>114</v>
      </c>
      <c r="D22" s="44"/>
      <c r="E22" s="40">
        <v>19.0</v>
      </c>
      <c r="F22" s="42">
        <v>14.0</v>
      </c>
      <c r="G22" s="42">
        <v>14.0</v>
      </c>
      <c r="I22" s="31">
        <f t="shared" ref="I22:J22" si="21">D22*(15/20)</f>
        <v>0</v>
      </c>
      <c r="J22" s="31">
        <f t="shared" si="21"/>
        <v>14.25</v>
      </c>
      <c r="K22" s="31">
        <f t="shared" si="3"/>
        <v>14</v>
      </c>
      <c r="L22" s="31">
        <f t="shared" si="4"/>
        <v>10.5</v>
      </c>
      <c r="M22" s="38">
        <f t="shared" si="5"/>
        <v>12.91666667</v>
      </c>
    </row>
    <row r="23">
      <c r="A23" s="33">
        <f t="shared" si="6"/>
        <v>18</v>
      </c>
      <c r="B23" s="20" t="s">
        <v>117</v>
      </c>
      <c r="C23" s="20" t="s">
        <v>118</v>
      </c>
      <c r="D23" s="44"/>
      <c r="E23" s="44"/>
      <c r="F23" s="45"/>
      <c r="G23" s="45"/>
      <c r="I23" s="31">
        <f t="shared" ref="I23:J23" si="22">D23*(15/20)</f>
        <v>0</v>
      </c>
      <c r="J23" s="31">
        <f t="shared" si="22"/>
        <v>0</v>
      </c>
      <c r="K23" s="31" t="str">
        <f t="shared" si="3"/>
        <v/>
      </c>
      <c r="L23" s="31">
        <f t="shared" si="4"/>
        <v>0</v>
      </c>
      <c r="M23" s="38">
        <f t="shared" si="5"/>
        <v>0</v>
      </c>
    </row>
    <row r="24">
      <c r="A24" s="33">
        <f t="shared" si="6"/>
        <v>19</v>
      </c>
      <c r="B24" s="20" t="s">
        <v>121</v>
      </c>
      <c r="C24" s="20" t="s">
        <v>122</v>
      </c>
      <c r="D24" s="41">
        <v>18.0</v>
      </c>
      <c r="E24" s="41">
        <v>15.0</v>
      </c>
      <c r="F24" s="42">
        <v>14.0</v>
      </c>
      <c r="G24" s="42">
        <v>17.0</v>
      </c>
      <c r="I24" s="31">
        <f t="shared" ref="I24:J24" si="23">D24*(15/20)</f>
        <v>13.5</v>
      </c>
      <c r="J24" s="31">
        <f t="shared" si="23"/>
        <v>11.25</v>
      </c>
      <c r="K24" s="31">
        <f t="shared" si="3"/>
        <v>14</v>
      </c>
      <c r="L24" s="31">
        <f t="shared" si="4"/>
        <v>12.75</v>
      </c>
      <c r="M24" s="38">
        <f t="shared" si="5"/>
        <v>13.41666667</v>
      </c>
    </row>
    <row r="25">
      <c r="A25" s="33">
        <f t="shared" si="6"/>
        <v>20</v>
      </c>
      <c r="B25" s="20" t="s">
        <v>126</v>
      </c>
      <c r="C25" s="20" t="s">
        <v>127</v>
      </c>
      <c r="D25" s="41">
        <v>5.0</v>
      </c>
      <c r="E25" s="41">
        <v>1.0</v>
      </c>
      <c r="F25" s="42">
        <v>1.0</v>
      </c>
      <c r="G25" s="42">
        <v>12.0</v>
      </c>
      <c r="I25" s="31">
        <f t="shared" ref="I25:J25" si="24">D25*(15/20)</f>
        <v>3.75</v>
      </c>
      <c r="J25" s="31">
        <f t="shared" si="24"/>
        <v>0.75</v>
      </c>
      <c r="K25" s="31">
        <f t="shared" si="3"/>
        <v>1</v>
      </c>
      <c r="L25" s="31">
        <f t="shared" si="4"/>
        <v>9</v>
      </c>
      <c r="M25" s="38">
        <f t="shared" si="5"/>
        <v>4.583333333</v>
      </c>
    </row>
    <row r="26">
      <c r="A26" s="33">
        <f t="shared" si="6"/>
        <v>21</v>
      </c>
      <c r="B26" s="20" t="s">
        <v>130</v>
      </c>
      <c r="C26" s="20" t="s">
        <v>131</v>
      </c>
      <c r="D26" s="44"/>
      <c r="E26" s="41">
        <v>8.0</v>
      </c>
      <c r="F26" s="45"/>
      <c r="G26" s="45"/>
      <c r="I26" s="31">
        <f t="shared" ref="I26:J26" si="25">D26*(15/20)</f>
        <v>0</v>
      </c>
      <c r="J26" s="31">
        <f t="shared" si="25"/>
        <v>6</v>
      </c>
      <c r="K26" s="31" t="str">
        <f t="shared" si="3"/>
        <v/>
      </c>
      <c r="L26" s="31">
        <f t="shared" si="4"/>
        <v>0</v>
      </c>
      <c r="M26" s="38">
        <f t="shared" si="5"/>
        <v>2</v>
      </c>
    </row>
    <row r="27">
      <c r="A27" s="33">
        <f t="shared" si="6"/>
        <v>22</v>
      </c>
      <c r="B27" s="20" t="s">
        <v>134</v>
      </c>
      <c r="C27" s="20" t="s">
        <v>135</v>
      </c>
      <c r="D27" s="41">
        <v>11.0</v>
      </c>
      <c r="E27" s="41">
        <v>12.0</v>
      </c>
      <c r="F27" s="42">
        <v>5.0</v>
      </c>
      <c r="G27" s="45"/>
      <c r="I27" s="31">
        <f t="shared" ref="I27:J27" si="26">D27*(15/20)</f>
        <v>8.25</v>
      </c>
      <c r="J27" s="31">
        <f t="shared" si="26"/>
        <v>9</v>
      </c>
      <c r="K27" s="31">
        <f t="shared" si="3"/>
        <v>5</v>
      </c>
      <c r="L27" s="31">
        <f t="shared" si="4"/>
        <v>0</v>
      </c>
      <c r="M27" s="38">
        <f t="shared" si="5"/>
        <v>7.416666667</v>
      </c>
    </row>
    <row r="28">
      <c r="A28" s="33">
        <f t="shared" si="6"/>
        <v>23</v>
      </c>
      <c r="B28" s="20" t="s">
        <v>138</v>
      </c>
      <c r="C28" s="20" t="s">
        <v>139</v>
      </c>
      <c r="D28" s="41">
        <v>9.0</v>
      </c>
      <c r="E28" s="40">
        <v>12.0</v>
      </c>
      <c r="F28" s="42">
        <v>12.0</v>
      </c>
      <c r="G28" s="42">
        <v>10.0</v>
      </c>
      <c r="I28" s="31">
        <f t="shared" ref="I28:J28" si="27">D28*(15/20)</f>
        <v>6.75</v>
      </c>
      <c r="J28" s="31">
        <f t="shared" si="27"/>
        <v>9</v>
      </c>
      <c r="K28" s="31">
        <f t="shared" si="3"/>
        <v>12</v>
      </c>
      <c r="L28" s="31">
        <f t="shared" si="4"/>
        <v>7.5</v>
      </c>
      <c r="M28" s="38">
        <f t="shared" si="5"/>
        <v>9.5</v>
      </c>
    </row>
    <row r="29">
      <c r="A29" s="33">
        <f t="shared" si="6"/>
        <v>24</v>
      </c>
      <c r="B29" s="20" t="s">
        <v>142</v>
      </c>
      <c r="C29" s="20" t="s">
        <v>143</v>
      </c>
      <c r="D29" s="41">
        <v>3.0</v>
      </c>
      <c r="E29" s="40">
        <v>19.0</v>
      </c>
      <c r="F29" s="42">
        <v>12.0</v>
      </c>
      <c r="G29" s="42">
        <v>19.0</v>
      </c>
      <c r="I29" s="31">
        <f t="shared" ref="I29:J29" si="28">D29*(15/20)</f>
        <v>2.25</v>
      </c>
      <c r="J29" s="31">
        <f t="shared" si="28"/>
        <v>14.25</v>
      </c>
      <c r="K29" s="31">
        <f t="shared" si="3"/>
        <v>12</v>
      </c>
      <c r="L29" s="31">
        <f t="shared" si="4"/>
        <v>14.25</v>
      </c>
      <c r="M29" s="38">
        <f t="shared" si="5"/>
        <v>13.5</v>
      </c>
    </row>
    <row r="30">
      <c r="A30" s="33">
        <f t="shared" si="6"/>
        <v>25</v>
      </c>
      <c r="B30" s="20" t="s">
        <v>146</v>
      </c>
      <c r="C30" s="20" t="s">
        <v>147</v>
      </c>
      <c r="D30" s="44"/>
      <c r="E30" s="44"/>
      <c r="F30" s="47">
        <v>7.0</v>
      </c>
      <c r="G30" s="42">
        <v>7.0</v>
      </c>
      <c r="I30" s="31">
        <f t="shared" ref="I30:J30" si="29">D30*(15/20)</f>
        <v>0</v>
      </c>
      <c r="J30" s="31">
        <f t="shared" si="29"/>
        <v>0</v>
      </c>
      <c r="K30" s="31">
        <f t="shared" si="3"/>
        <v>7</v>
      </c>
      <c r="L30" s="31">
        <f t="shared" si="4"/>
        <v>5.25</v>
      </c>
      <c r="M30" s="38">
        <f t="shared" si="5"/>
        <v>4.083333333</v>
      </c>
    </row>
    <row r="31">
      <c r="A31" s="33">
        <f t="shared" si="6"/>
        <v>26</v>
      </c>
      <c r="B31" s="20" t="s">
        <v>150</v>
      </c>
      <c r="C31" s="20" t="s">
        <v>151</v>
      </c>
      <c r="D31" s="41">
        <v>16.0</v>
      </c>
      <c r="E31" s="41">
        <v>16.0</v>
      </c>
      <c r="F31" s="42">
        <v>13.0</v>
      </c>
      <c r="G31" s="42">
        <v>10.0</v>
      </c>
      <c r="I31" s="31">
        <f t="shared" ref="I31:J31" si="30">D31*(15/20)</f>
        <v>12</v>
      </c>
      <c r="J31" s="31">
        <f t="shared" si="30"/>
        <v>12</v>
      </c>
      <c r="K31" s="31">
        <f t="shared" si="3"/>
        <v>13</v>
      </c>
      <c r="L31" s="31">
        <f t="shared" si="4"/>
        <v>7.5</v>
      </c>
      <c r="M31" s="38">
        <f t="shared" si="5"/>
        <v>12.33333333</v>
      </c>
    </row>
    <row r="32">
      <c r="A32" s="33">
        <f t="shared" si="6"/>
        <v>27</v>
      </c>
      <c r="B32" s="20" t="s">
        <v>154</v>
      </c>
      <c r="C32" s="20" t="s">
        <v>155</v>
      </c>
      <c r="D32" s="41">
        <v>12.0</v>
      </c>
      <c r="E32" s="41">
        <v>9.0</v>
      </c>
      <c r="F32" s="47">
        <v>9.0</v>
      </c>
      <c r="G32" s="42">
        <v>9.0</v>
      </c>
      <c r="I32" s="31">
        <f t="shared" ref="I32:J32" si="31">D32*(15/20)</f>
        <v>9</v>
      </c>
      <c r="J32" s="31">
        <f t="shared" si="31"/>
        <v>6.75</v>
      </c>
      <c r="K32" s="31">
        <f t="shared" si="3"/>
        <v>9</v>
      </c>
      <c r="L32" s="31">
        <f t="shared" si="4"/>
        <v>6.75</v>
      </c>
      <c r="M32" s="38">
        <f t="shared" si="5"/>
        <v>8.25</v>
      </c>
    </row>
    <row r="33">
      <c r="A33" s="33">
        <f t="shared" si="6"/>
        <v>28</v>
      </c>
      <c r="B33" s="20" t="s">
        <v>158</v>
      </c>
      <c r="C33" s="20" t="s">
        <v>159</v>
      </c>
      <c r="D33" s="44"/>
      <c r="E33" s="44"/>
      <c r="F33" s="45"/>
      <c r="G33" s="45"/>
      <c r="I33" s="31">
        <f t="shared" ref="I33:J33" si="32">D33*(15/20)</f>
        <v>0</v>
      </c>
      <c r="J33" s="31">
        <f t="shared" si="32"/>
        <v>0</v>
      </c>
      <c r="K33" s="31" t="str">
        <f t="shared" si="3"/>
        <v/>
      </c>
      <c r="L33" s="31">
        <f t="shared" si="4"/>
        <v>0</v>
      </c>
      <c r="M33" s="38">
        <f t="shared" si="5"/>
        <v>0</v>
      </c>
    </row>
    <row r="34">
      <c r="A34" s="33">
        <f t="shared" si="6"/>
        <v>29</v>
      </c>
      <c r="B34" s="20" t="s">
        <v>162</v>
      </c>
      <c r="C34" s="20" t="s">
        <v>163</v>
      </c>
      <c r="D34" s="44"/>
      <c r="E34" s="44"/>
      <c r="F34" s="45"/>
      <c r="G34" s="45"/>
      <c r="I34" s="31">
        <f t="shared" ref="I34:J34" si="33">D34*(15/20)</f>
        <v>0</v>
      </c>
      <c r="J34" s="31">
        <f t="shared" si="33"/>
        <v>0</v>
      </c>
      <c r="K34" s="31" t="str">
        <f t="shared" si="3"/>
        <v/>
      </c>
      <c r="L34" s="31">
        <f t="shared" si="4"/>
        <v>0</v>
      </c>
      <c r="M34" s="38">
        <f t="shared" si="5"/>
        <v>0</v>
      </c>
    </row>
    <row r="35">
      <c r="A35" s="33">
        <f t="shared" si="6"/>
        <v>30</v>
      </c>
      <c r="B35" s="20" t="s">
        <v>166</v>
      </c>
      <c r="C35" s="20" t="s">
        <v>167</v>
      </c>
      <c r="D35" s="41">
        <v>19.0</v>
      </c>
      <c r="E35" s="40">
        <v>19.0</v>
      </c>
      <c r="F35" s="42">
        <v>14.0</v>
      </c>
      <c r="G35" s="42">
        <v>10.0</v>
      </c>
      <c r="I35" s="31">
        <f t="shared" ref="I35:J35" si="34">D35*(15/20)</f>
        <v>14.25</v>
      </c>
      <c r="J35" s="31">
        <f t="shared" si="34"/>
        <v>14.25</v>
      </c>
      <c r="K35" s="31">
        <f t="shared" si="3"/>
        <v>14</v>
      </c>
      <c r="L35" s="31">
        <f t="shared" si="4"/>
        <v>7.5</v>
      </c>
      <c r="M35" s="38">
        <f t="shared" si="5"/>
        <v>14.16666667</v>
      </c>
    </row>
    <row r="36">
      <c r="A36" s="33">
        <f t="shared" si="6"/>
        <v>31</v>
      </c>
      <c r="B36" s="20" t="s">
        <v>170</v>
      </c>
      <c r="C36" s="20" t="s">
        <v>171</v>
      </c>
      <c r="D36" s="44"/>
      <c r="E36" s="44"/>
      <c r="F36" s="47">
        <v>9.0</v>
      </c>
      <c r="G36" s="42">
        <v>7.0</v>
      </c>
      <c r="I36" s="31">
        <f t="shared" ref="I36:J36" si="35">D36*(15/20)</f>
        <v>0</v>
      </c>
      <c r="J36" s="31">
        <f t="shared" si="35"/>
        <v>0</v>
      </c>
      <c r="K36" s="31">
        <f t="shared" si="3"/>
        <v>9</v>
      </c>
      <c r="L36" s="31">
        <f t="shared" si="4"/>
        <v>5.25</v>
      </c>
      <c r="M36" s="38">
        <f t="shared" si="5"/>
        <v>4.75</v>
      </c>
    </row>
    <row r="37">
      <c r="A37" s="33">
        <f t="shared" si="6"/>
        <v>32</v>
      </c>
      <c r="B37" s="20" t="s">
        <v>174</v>
      </c>
      <c r="C37" s="20" t="s">
        <v>175</v>
      </c>
      <c r="D37" s="41">
        <v>13.0</v>
      </c>
      <c r="E37" s="41">
        <v>9.0</v>
      </c>
      <c r="F37" s="49">
        <v>12.0</v>
      </c>
      <c r="G37" s="42">
        <v>4.0</v>
      </c>
      <c r="I37" s="31">
        <f t="shared" ref="I37:J37" si="36">D37*(15/20)</f>
        <v>9.75</v>
      </c>
      <c r="J37" s="31">
        <f t="shared" si="36"/>
        <v>6.75</v>
      </c>
      <c r="K37" s="31">
        <f t="shared" si="3"/>
        <v>12</v>
      </c>
      <c r="L37" s="31">
        <f t="shared" si="4"/>
        <v>3</v>
      </c>
      <c r="M37" s="38">
        <f t="shared" si="5"/>
        <v>9.5</v>
      </c>
    </row>
    <row r="38">
      <c r="A38" s="33">
        <f t="shared" si="6"/>
        <v>33</v>
      </c>
      <c r="B38" s="20" t="s">
        <v>178</v>
      </c>
      <c r="C38" s="20" t="s">
        <v>179</v>
      </c>
      <c r="D38" s="41">
        <v>5.0</v>
      </c>
      <c r="E38" s="41">
        <v>7.0</v>
      </c>
      <c r="F38" s="42">
        <v>5.0</v>
      </c>
      <c r="G38" s="42">
        <v>13.0</v>
      </c>
      <c r="I38" s="31">
        <f t="shared" ref="I38:J38" si="37">D38*(15/20)</f>
        <v>3.75</v>
      </c>
      <c r="J38" s="31">
        <f t="shared" si="37"/>
        <v>5.25</v>
      </c>
      <c r="K38" s="31">
        <f t="shared" si="3"/>
        <v>5</v>
      </c>
      <c r="L38" s="31">
        <f t="shared" si="4"/>
        <v>9.75</v>
      </c>
      <c r="M38" s="38">
        <f t="shared" si="5"/>
        <v>6.666666667</v>
      </c>
    </row>
    <row r="39">
      <c r="A39" s="33">
        <f t="shared" si="6"/>
        <v>34</v>
      </c>
      <c r="B39" s="20" t="s">
        <v>182</v>
      </c>
      <c r="C39" s="20" t="s">
        <v>183</v>
      </c>
      <c r="D39" s="44"/>
      <c r="E39" s="44"/>
      <c r="F39" s="45"/>
      <c r="G39" s="45"/>
      <c r="I39" s="31">
        <f t="shared" ref="I39:J39" si="38">D39*(15/20)</f>
        <v>0</v>
      </c>
      <c r="J39" s="31">
        <f t="shared" si="38"/>
        <v>0</v>
      </c>
      <c r="K39" s="31" t="str">
        <f t="shared" si="3"/>
        <v/>
      </c>
      <c r="L39" s="31">
        <f t="shared" si="4"/>
        <v>0</v>
      </c>
      <c r="M39" s="38">
        <f t="shared" si="5"/>
        <v>0</v>
      </c>
    </row>
    <row r="40">
      <c r="A40" s="33">
        <f t="shared" si="6"/>
        <v>35</v>
      </c>
      <c r="B40" s="20" t="s">
        <v>186</v>
      </c>
      <c r="C40" s="20" t="s">
        <v>187</v>
      </c>
      <c r="D40" s="41">
        <v>12.0</v>
      </c>
      <c r="E40" s="41">
        <v>6.0</v>
      </c>
      <c r="F40" s="42">
        <v>6.0</v>
      </c>
      <c r="G40" s="42">
        <v>13.0</v>
      </c>
      <c r="I40" s="31">
        <f t="shared" ref="I40:J40" si="39">D40*(15/20)</f>
        <v>9</v>
      </c>
      <c r="J40" s="31">
        <f t="shared" si="39"/>
        <v>4.5</v>
      </c>
      <c r="K40" s="31">
        <f t="shared" si="3"/>
        <v>6</v>
      </c>
      <c r="L40" s="31">
        <f t="shared" si="4"/>
        <v>9.75</v>
      </c>
      <c r="M40" s="38">
        <f t="shared" si="5"/>
        <v>8.25</v>
      </c>
    </row>
    <row r="41">
      <c r="A41" s="33">
        <f t="shared" si="6"/>
        <v>36</v>
      </c>
      <c r="B41" s="20" t="s">
        <v>190</v>
      </c>
      <c r="C41" s="20" t="s">
        <v>191</v>
      </c>
      <c r="D41" s="41">
        <v>8.0</v>
      </c>
      <c r="E41" s="41">
        <v>4.0</v>
      </c>
      <c r="F41" s="42">
        <v>3.0</v>
      </c>
      <c r="G41" s="42">
        <v>4.0</v>
      </c>
      <c r="I41" s="31">
        <f t="shared" ref="I41:J41" si="40">D41*(15/20)</f>
        <v>6</v>
      </c>
      <c r="J41" s="31">
        <f t="shared" si="40"/>
        <v>3</v>
      </c>
      <c r="K41" s="31">
        <f t="shared" si="3"/>
        <v>3</v>
      </c>
      <c r="L41" s="31">
        <f t="shared" si="4"/>
        <v>3</v>
      </c>
      <c r="M41" s="38">
        <f t="shared" si="5"/>
        <v>4</v>
      </c>
    </row>
    <row r="42">
      <c r="A42" s="33">
        <f t="shared" si="6"/>
        <v>37</v>
      </c>
      <c r="B42" s="20" t="s">
        <v>194</v>
      </c>
      <c r="C42" s="20" t="s">
        <v>195</v>
      </c>
      <c r="D42" s="41">
        <v>7.0</v>
      </c>
      <c r="E42" s="40">
        <v>19.0</v>
      </c>
      <c r="F42" s="42">
        <v>14.0</v>
      </c>
      <c r="G42" s="42">
        <v>19.0</v>
      </c>
      <c r="I42" s="31">
        <f t="shared" ref="I42:J42" si="41">D42*(15/20)</f>
        <v>5.25</v>
      </c>
      <c r="J42" s="31">
        <f t="shared" si="41"/>
        <v>14.25</v>
      </c>
      <c r="K42" s="31">
        <f t="shared" si="3"/>
        <v>14</v>
      </c>
      <c r="L42" s="31">
        <f t="shared" si="4"/>
        <v>14.25</v>
      </c>
      <c r="M42" s="38">
        <f t="shared" si="5"/>
        <v>14.16666667</v>
      </c>
    </row>
    <row r="43">
      <c r="A43" s="33">
        <f t="shared" si="6"/>
        <v>38</v>
      </c>
      <c r="B43" s="20" t="s">
        <v>198</v>
      </c>
      <c r="C43" s="20" t="s">
        <v>199</v>
      </c>
      <c r="D43" s="41">
        <v>5.0</v>
      </c>
      <c r="E43" s="41">
        <v>8.0</v>
      </c>
      <c r="F43" s="42">
        <v>7.0</v>
      </c>
      <c r="G43" s="42">
        <v>15.0</v>
      </c>
      <c r="I43" s="31">
        <f t="shared" ref="I43:J43" si="42">D43*(15/20)</f>
        <v>3.75</v>
      </c>
      <c r="J43" s="31">
        <f t="shared" si="42"/>
        <v>6</v>
      </c>
      <c r="K43" s="31">
        <f t="shared" si="3"/>
        <v>7</v>
      </c>
      <c r="L43" s="31">
        <f t="shared" si="4"/>
        <v>11.25</v>
      </c>
      <c r="M43" s="38">
        <f t="shared" si="5"/>
        <v>8.083333333</v>
      </c>
    </row>
    <row r="44">
      <c r="A44" s="33">
        <f t="shared" si="6"/>
        <v>39</v>
      </c>
      <c r="B44" s="20" t="s">
        <v>202</v>
      </c>
      <c r="C44" s="20" t="s">
        <v>203</v>
      </c>
      <c r="D44" s="41">
        <v>4.0</v>
      </c>
      <c r="E44" s="40">
        <v>18.0</v>
      </c>
      <c r="F44" s="42">
        <v>7.0</v>
      </c>
      <c r="G44" s="42">
        <v>9.0</v>
      </c>
      <c r="I44" s="31">
        <f t="shared" ref="I44:J44" si="43">D44*(15/20)</f>
        <v>3</v>
      </c>
      <c r="J44" s="31">
        <f t="shared" si="43"/>
        <v>13.5</v>
      </c>
      <c r="K44" s="31">
        <f t="shared" si="3"/>
        <v>7</v>
      </c>
      <c r="L44" s="31">
        <f t="shared" si="4"/>
        <v>6.75</v>
      </c>
      <c r="M44" s="38">
        <f t="shared" si="5"/>
        <v>9.083333333</v>
      </c>
    </row>
    <row r="45">
      <c r="A45" s="33">
        <f t="shared" si="6"/>
        <v>40</v>
      </c>
      <c r="B45" s="20" t="s">
        <v>206</v>
      </c>
      <c r="C45" s="20" t="s">
        <v>207</v>
      </c>
      <c r="D45" s="60">
        <v>3.0</v>
      </c>
      <c r="E45" s="60">
        <v>7.0</v>
      </c>
      <c r="F45" s="61">
        <v>5.0</v>
      </c>
      <c r="G45" s="61">
        <v>11.0</v>
      </c>
      <c r="I45" s="31">
        <f t="shared" ref="I45:J45" si="44">D45*(15/20)</f>
        <v>2.25</v>
      </c>
      <c r="J45" s="31">
        <f t="shared" si="44"/>
        <v>5.25</v>
      </c>
      <c r="K45" s="31">
        <f t="shared" si="3"/>
        <v>5</v>
      </c>
      <c r="L45" s="31">
        <f t="shared" si="4"/>
        <v>8.25</v>
      </c>
      <c r="M45" s="38">
        <f t="shared" si="5"/>
        <v>6.166666667</v>
      </c>
    </row>
    <row r="46">
      <c r="D46" s="62">
        <f t="shared" ref="D46:G46" si="45">COUNTIF(D6:D45,"&gt;0")</f>
        <v>30</v>
      </c>
      <c r="E46" s="62">
        <f t="shared" si="45"/>
        <v>28</v>
      </c>
      <c r="F46" s="62">
        <f t="shared" si="45"/>
        <v>32</v>
      </c>
      <c r="G46" s="62">
        <f t="shared" si="45"/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3" max="3" width="31.71"/>
    <col customWidth="1" min="8" max="8" width="17.43"/>
  </cols>
  <sheetData>
    <row r="2">
      <c r="B2" s="3" t="s">
        <v>3</v>
      </c>
    </row>
    <row r="5">
      <c r="A5" s="5" t="s">
        <v>4</v>
      </c>
      <c r="B5" s="7" t="s">
        <v>6</v>
      </c>
      <c r="C5" s="8" t="s">
        <v>7</v>
      </c>
      <c r="D5" s="11" t="s">
        <v>9</v>
      </c>
      <c r="E5" s="14" t="s">
        <v>20</v>
      </c>
      <c r="F5" s="11" t="s">
        <v>24</v>
      </c>
      <c r="G5" s="14" t="s">
        <v>26</v>
      </c>
      <c r="H5" s="14" t="s">
        <v>29</v>
      </c>
      <c r="I5" s="11" t="s">
        <v>32</v>
      </c>
    </row>
    <row r="6">
      <c r="A6" s="13">
        <v>1.0</v>
      </c>
      <c r="B6" s="16" t="s">
        <v>22</v>
      </c>
      <c r="C6" s="20" t="s">
        <v>30</v>
      </c>
      <c r="D6" s="24">
        <v>5.0</v>
      </c>
      <c r="E6" s="24">
        <v>3.0</v>
      </c>
      <c r="F6" s="24">
        <v>2.0</v>
      </c>
      <c r="G6" s="24">
        <v>3.0</v>
      </c>
      <c r="H6" s="32">
        <f t="shared" ref="H6:H45" si="1">SUM(D6:G6)</f>
        <v>13</v>
      </c>
      <c r="I6" s="35">
        <f t="shared" ref="I6:I46" si="2">H6*(25/30)</f>
        <v>10.83333333</v>
      </c>
    </row>
    <row r="7">
      <c r="A7" s="33">
        <f t="shared" ref="A7:A45" si="3">A6+1</f>
        <v>2</v>
      </c>
      <c r="B7" s="20" t="s">
        <v>50</v>
      </c>
      <c r="C7" s="39" t="s">
        <v>51</v>
      </c>
      <c r="D7" s="24">
        <v>1.0</v>
      </c>
      <c r="E7" s="24">
        <v>1.0</v>
      </c>
      <c r="F7" s="24">
        <v>4.0</v>
      </c>
      <c r="G7" s="24">
        <v>5.0</v>
      </c>
      <c r="H7" s="32">
        <f t="shared" si="1"/>
        <v>11</v>
      </c>
      <c r="I7" s="35">
        <f t="shared" si="2"/>
        <v>9.166666667</v>
      </c>
    </row>
    <row r="8">
      <c r="A8" s="33">
        <f t="shared" si="3"/>
        <v>3</v>
      </c>
      <c r="B8" s="20" t="s">
        <v>54</v>
      </c>
      <c r="C8" s="20" t="s">
        <v>55</v>
      </c>
      <c r="D8" s="43"/>
      <c r="E8" s="24">
        <v>3.0</v>
      </c>
      <c r="F8" s="24">
        <v>2.0</v>
      </c>
      <c r="G8" s="24">
        <v>3.0</v>
      </c>
      <c r="H8" s="32">
        <f t="shared" si="1"/>
        <v>8</v>
      </c>
      <c r="I8" s="35">
        <f t="shared" si="2"/>
        <v>6.666666667</v>
      </c>
    </row>
    <row r="9">
      <c r="A9" s="33">
        <f t="shared" si="3"/>
        <v>4</v>
      </c>
      <c r="B9" s="20" t="s">
        <v>58</v>
      </c>
      <c r="C9" s="20" t="s">
        <v>59</v>
      </c>
      <c r="D9" s="43"/>
      <c r="E9" s="43"/>
      <c r="F9" s="43"/>
      <c r="G9" s="43"/>
      <c r="H9" s="32">
        <f t="shared" si="1"/>
        <v>0</v>
      </c>
      <c r="I9" s="35">
        <f t="shared" si="2"/>
        <v>0</v>
      </c>
    </row>
    <row r="10">
      <c r="A10" s="33">
        <f t="shared" si="3"/>
        <v>5</v>
      </c>
      <c r="B10" s="20" t="s">
        <v>63</v>
      </c>
      <c r="C10" s="20" t="s">
        <v>64</v>
      </c>
      <c r="D10" s="24">
        <v>3.0</v>
      </c>
      <c r="E10" s="24">
        <v>3.0</v>
      </c>
      <c r="F10" s="24">
        <v>1.0</v>
      </c>
      <c r="G10" s="24">
        <v>4.0</v>
      </c>
      <c r="H10" s="32">
        <f t="shared" si="1"/>
        <v>11</v>
      </c>
      <c r="I10" s="35">
        <f t="shared" si="2"/>
        <v>9.166666667</v>
      </c>
    </row>
    <row r="11">
      <c r="A11" s="33">
        <f t="shared" si="3"/>
        <v>6</v>
      </c>
      <c r="B11" s="20" t="s">
        <v>67</v>
      </c>
      <c r="C11" s="20" t="s">
        <v>68</v>
      </c>
      <c r="D11" s="24">
        <v>6.0</v>
      </c>
      <c r="E11" s="24">
        <v>3.0</v>
      </c>
      <c r="F11" s="24">
        <v>4.0</v>
      </c>
      <c r="G11" s="24">
        <v>7.0</v>
      </c>
      <c r="H11" s="32">
        <f t="shared" si="1"/>
        <v>20</v>
      </c>
      <c r="I11" s="35">
        <f t="shared" si="2"/>
        <v>16.66666667</v>
      </c>
    </row>
    <row r="12">
      <c r="A12" s="33">
        <f t="shared" si="3"/>
        <v>7</v>
      </c>
      <c r="B12" s="20" t="s">
        <v>71</v>
      </c>
      <c r="C12" s="20" t="s">
        <v>72</v>
      </c>
      <c r="D12" s="24">
        <v>3.0</v>
      </c>
      <c r="E12" s="24">
        <v>3.0</v>
      </c>
      <c r="F12" s="24">
        <v>3.0</v>
      </c>
      <c r="G12" s="24">
        <v>4.0</v>
      </c>
      <c r="H12" s="32">
        <f t="shared" si="1"/>
        <v>13</v>
      </c>
      <c r="I12" s="35">
        <f t="shared" si="2"/>
        <v>10.83333333</v>
      </c>
    </row>
    <row r="13">
      <c r="A13" s="33">
        <f t="shared" si="3"/>
        <v>8</v>
      </c>
      <c r="B13" s="20" t="s">
        <v>75</v>
      </c>
      <c r="C13" s="20" t="s">
        <v>76</v>
      </c>
      <c r="D13" s="24">
        <v>6.0</v>
      </c>
      <c r="E13" s="24">
        <v>5.0</v>
      </c>
      <c r="F13" s="24">
        <v>4.0</v>
      </c>
      <c r="G13" s="24">
        <v>4.0</v>
      </c>
      <c r="H13" s="32">
        <f t="shared" si="1"/>
        <v>19</v>
      </c>
      <c r="I13" s="35">
        <f t="shared" si="2"/>
        <v>15.83333333</v>
      </c>
    </row>
    <row r="14">
      <c r="A14" s="33">
        <f t="shared" si="3"/>
        <v>9</v>
      </c>
      <c r="B14" s="20" t="s">
        <v>79</v>
      </c>
      <c r="C14" s="20" t="s">
        <v>80</v>
      </c>
      <c r="D14" s="24">
        <v>3.0</v>
      </c>
      <c r="E14" s="24">
        <v>4.0</v>
      </c>
      <c r="F14" s="24">
        <v>2.0</v>
      </c>
      <c r="G14" s="24">
        <v>7.0</v>
      </c>
      <c r="H14" s="32">
        <f t="shared" si="1"/>
        <v>16</v>
      </c>
      <c r="I14" s="35">
        <f t="shared" si="2"/>
        <v>13.33333333</v>
      </c>
    </row>
    <row r="15">
      <c r="A15" s="33">
        <f t="shared" si="3"/>
        <v>10</v>
      </c>
      <c r="B15" s="20" t="s">
        <v>83</v>
      </c>
      <c r="C15" s="20" t="s">
        <v>84</v>
      </c>
      <c r="D15" s="24">
        <v>4.0</v>
      </c>
      <c r="E15" s="24">
        <v>4.0</v>
      </c>
      <c r="F15" s="24">
        <v>2.0</v>
      </c>
      <c r="G15" s="24">
        <v>5.0</v>
      </c>
      <c r="H15" s="32">
        <f t="shared" si="1"/>
        <v>15</v>
      </c>
      <c r="I15" s="35">
        <f t="shared" si="2"/>
        <v>12.5</v>
      </c>
    </row>
    <row r="16">
      <c r="A16" s="33">
        <f t="shared" si="3"/>
        <v>11</v>
      </c>
      <c r="B16" s="20" t="s">
        <v>87</v>
      </c>
      <c r="C16" s="20" t="s">
        <v>88</v>
      </c>
      <c r="D16" s="43"/>
      <c r="E16" s="24">
        <v>3.0</v>
      </c>
      <c r="F16" s="24">
        <v>2.0</v>
      </c>
      <c r="G16" s="24">
        <v>4.0</v>
      </c>
      <c r="H16" s="32">
        <f t="shared" si="1"/>
        <v>9</v>
      </c>
      <c r="I16" s="35">
        <f t="shared" si="2"/>
        <v>7.5</v>
      </c>
    </row>
    <row r="17">
      <c r="A17" s="33">
        <f t="shared" si="3"/>
        <v>12</v>
      </c>
      <c r="B17" s="20" t="s">
        <v>92</v>
      </c>
      <c r="C17" s="20" t="s">
        <v>93</v>
      </c>
      <c r="D17" s="24">
        <v>3.0</v>
      </c>
      <c r="E17" s="24">
        <v>4.0</v>
      </c>
      <c r="F17" s="24">
        <v>3.0</v>
      </c>
      <c r="G17" s="24">
        <v>5.0</v>
      </c>
      <c r="H17" s="32">
        <f t="shared" si="1"/>
        <v>15</v>
      </c>
      <c r="I17" s="35">
        <f t="shared" si="2"/>
        <v>12.5</v>
      </c>
    </row>
    <row r="18">
      <c r="A18" s="33">
        <f t="shared" si="3"/>
        <v>13</v>
      </c>
      <c r="B18" s="20" t="s">
        <v>96</v>
      </c>
      <c r="C18" s="20" t="s">
        <v>97</v>
      </c>
      <c r="D18" s="24">
        <v>4.0</v>
      </c>
      <c r="E18" s="24">
        <v>4.0</v>
      </c>
      <c r="F18" s="24">
        <v>3.0</v>
      </c>
      <c r="G18" s="24">
        <v>7.0</v>
      </c>
      <c r="H18" s="32">
        <f t="shared" si="1"/>
        <v>18</v>
      </c>
      <c r="I18" s="35">
        <f t="shared" si="2"/>
        <v>15</v>
      </c>
    </row>
    <row r="19">
      <c r="A19" s="33">
        <f t="shared" si="3"/>
        <v>14</v>
      </c>
      <c r="B19" s="20" t="s">
        <v>101</v>
      </c>
      <c r="C19" s="20" t="s">
        <v>102</v>
      </c>
      <c r="D19" s="24">
        <v>6.0</v>
      </c>
      <c r="E19" s="24">
        <v>6.0</v>
      </c>
      <c r="F19" s="24">
        <v>5.0</v>
      </c>
      <c r="G19" s="24">
        <v>6.0</v>
      </c>
      <c r="H19" s="32">
        <f t="shared" si="1"/>
        <v>23</v>
      </c>
      <c r="I19" s="35">
        <f t="shared" si="2"/>
        <v>19.16666667</v>
      </c>
    </row>
    <row r="20">
      <c r="A20" s="33">
        <f t="shared" si="3"/>
        <v>15</v>
      </c>
      <c r="B20" s="20" t="s">
        <v>105</v>
      </c>
      <c r="C20" s="20" t="s">
        <v>106</v>
      </c>
      <c r="D20" s="24">
        <v>4.0</v>
      </c>
      <c r="E20" s="24">
        <v>4.0</v>
      </c>
      <c r="F20" s="24">
        <v>3.0</v>
      </c>
      <c r="G20" s="24">
        <v>6.0</v>
      </c>
      <c r="H20" s="32">
        <f t="shared" si="1"/>
        <v>17</v>
      </c>
      <c r="I20" s="35">
        <f t="shared" si="2"/>
        <v>14.16666667</v>
      </c>
    </row>
    <row r="21">
      <c r="A21" s="33">
        <f t="shared" si="3"/>
        <v>16</v>
      </c>
      <c r="B21" s="20" t="s">
        <v>109</v>
      </c>
      <c r="C21" s="20" t="s">
        <v>110</v>
      </c>
      <c r="D21" s="24">
        <v>6.0</v>
      </c>
      <c r="E21" s="24">
        <v>5.0</v>
      </c>
      <c r="F21" s="24">
        <v>3.0</v>
      </c>
      <c r="G21" s="24">
        <v>7.0</v>
      </c>
      <c r="H21" s="32">
        <f t="shared" si="1"/>
        <v>21</v>
      </c>
      <c r="I21" s="35">
        <f t="shared" si="2"/>
        <v>17.5</v>
      </c>
    </row>
    <row r="22">
      <c r="A22" s="33">
        <f t="shared" si="3"/>
        <v>17</v>
      </c>
      <c r="B22" s="20" t="s">
        <v>113</v>
      </c>
      <c r="C22" s="20" t="s">
        <v>114</v>
      </c>
      <c r="D22" s="43"/>
      <c r="E22" s="24">
        <v>2.0</v>
      </c>
      <c r="F22" s="24">
        <v>2.0</v>
      </c>
      <c r="G22" s="24">
        <v>3.0</v>
      </c>
      <c r="H22" s="32">
        <f t="shared" si="1"/>
        <v>7</v>
      </c>
      <c r="I22" s="35">
        <f t="shared" si="2"/>
        <v>5.833333333</v>
      </c>
    </row>
    <row r="23">
      <c r="A23" s="33">
        <f t="shared" si="3"/>
        <v>18</v>
      </c>
      <c r="B23" s="20" t="s">
        <v>117</v>
      </c>
      <c r="C23" s="39" t="s">
        <v>118</v>
      </c>
      <c r="D23" s="43"/>
      <c r="E23" s="24">
        <v>3.0</v>
      </c>
      <c r="F23" s="43"/>
      <c r="G23" s="24">
        <v>2.0</v>
      </c>
      <c r="H23" s="32">
        <f t="shared" si="1"/>
        <v>5</v>
      </c>
      <c r="I23" s="35">
        <f t="shared" si="2"/>
        <v>4.166666667</v>
      </c>
    </row>
    <row r="24">
      <c r="A24" s="33">
        <f t="shared" si="3"/>
        <v>19</v>
      </c>
      <c r="B24" s="20" t="s">
        <v>121</v>
      </c>
      <c r="C24" s="20" t="s">
        <v>122</v>
      </c>
      <c r="D24" s="24">
        <v>6.0</v>
      </c>
      <c r="E24" s="24">
        <v>6.0</v>
      </c>
      <c r="F24" s="24">
        <v>5.0</v>
      </c>
      <c r="G24" s="24">
        <v>10.0</v>
      </c>
      <c r="H24" s="32">
        <f t="shared" si="1"/>
        <v>27</v>
      </c>
      <c r="I24" s="35">
        <f t="shared" si="2"/>
        <v>22.5</v>
      </c>
    </row>
    <row r="25">
      <c r="A25" s="33">
        <f t="shared" si="3"/>
        <v>20</v>
      </c>
      <c r="B25" s="20" t="s">
        <v>126</v>
      </c>
      <c r="C25" s="20" t="s">
        <v>127</v>
      </c>
      <c r="D25" s="43"/>
      <c r="E25" s="43"/>
      <c r="F25" s="24">
        <v>3.0</v>
      </c>
      <c r="G25" s="24">
        <v>10.0</v>
      </c>
      <c r="H25" s="32">
        <f t="shared" si="1"/>
        <v>13</v>
      </c>
      <c r="I25" s="35">
        <f t="shared" si="2"/>
        <v>10.83333333</v>
      </c>
    </row>
    <row r="26">
      <c r="A26" s="33">
        <f t="shared" si="3"/>
        <v>21</v>
      </c>
      <c r="B26" s="20" t="s">
        <v>130</v>
      </c>
      <c r="C26" s="20" t="s">
        <v>131</v>
      </c>
      <c r="D26" s="24">
        <v>6.0</v>
      </c>
      <c r="E26" s="24">
        <v>7.0</v>
      </c>
      <c r="F26" s="24">
        <v>5.0</v>
      </c>
      <c r="G26" s="24">
        <v>8.0</v>
      </c>
      <c r="H26" s="32">
        <f t="shared" si="1"/>
        <v>26</v>
      </c>
      <c r="I26" s="35">
        <f t="shared" si="2"/>
        <v>21.66666667</v>
      </c>
    </row>
    <row r="27">
      <c r="A27" s="33">
        <f t="shared" si="3"/>
        <v>22</v>
      </c>
      <c r="B27" s="20" t="s">
        <v>134</v>
      </c>
      <c r="C27" s="20" t="s">
        <v>135</v>
      </c>
      <c r="D27" s="24">
        <v>5.0</v>
      </c>
      <c r="E27" s="24">
        <v>5.0</v>
      </c>
      <c r="F27" s="43"/>
      <c r="G27" s="24">
        <v>8.0</v>
      </c>
      <c r="H27" s="32">
        <f t="shared" si="1"/>
        <v>18</v>
      </c>
      <c r="I27" s="35">
        <f t="shared" si="2"/>
        <v>15</v>
      </c>
    </row>
    <row r="28">
      <c r="A28" s="33">
        <f t="shared" si="3"/>
        <v>23</v>
      </c>
      <c r="B28" s="20" t="s">
        <v>138</v>
      </c>
      <c r="C28" s="20" t="s">
        <v>139</v>
      </c>
      <c r="D28" s="24">
        <v>3.0</v>
      </c>
      <c r="E28" s="24">
        <v>3.0</v>
      </c>
      <c r="F28" s="24">
        <v>3.0</v>
      </c>
      <c r="G28" s="24">
        <v>6.0</v>
      </c>
      <c r="H28" s="32">
        <f t="shared" si="1"/>
        <v>15</v>
      </c>
      <c r="I28" s="35">
        <f t="shared" si="2"/>
        <v>12.5</v>
      </c>
    </row>
    <row r="29">
      <c r="A29" s="33">
        <f t="shared" si="3"/>
        <v>24</v>
      </c>
      <c r="B29" s="20" t="s">
        <v>142</v>
      </c>
      <c r="C29" s="20" t="s">
        <v>143</v>
      </c>
      <c r="D29" s="43"/>
      <c r="E29" s="24">
        <v>3.0</v>
      </c>
      <c r="F29" s="24">
        <v>4.0</v>
      </c>
      <c r="G29" s="24">
        <v>9.0</v>
      </c>
      <c r="H29" s="32">
        <f t="shared" si="1"/>
        <v>16</v>
      </c>
      <c r="I29" s="35">
        <f t="shared" si="2"/>
        <v>13.33333333</v>
      </c>
    </row>
    <row r="30">
      <c r="A30" s="33">
        <f t="shared" si="3"/>
        <v>25</v>
      </c>
      <c r="B30" s="20" t="s">
        <v>146</v>
      </c>
      <c r="C30" s="20" t="s">
        <v>147</v>
      </c>
      <c r="D30" s="43"/>
      <c r="E30" s="24">
        <v>4.0</v>
      </c>
      <c r="F30" s="24">
        <v>3.0</v>
      </c>
      <c r="G30" s="24">
        <v>5.0</v>
      </c>
      <c r="H30" s="32">
        <f t="shared" si="1"/>
        <v>12</v>
      </c>
      <c r="I30" s="35">
        <f t="shared" si="2"/>
        <v>10</v>
      </c>
    </row>
    <row r="31">
      <c r="A31" s="33">
        <f t="shared" si="3"/>
        <v>26</v>
      </c>
      <c r="B31" s="20" t="s">
        <v>150</v>
      </c>
      <c r="C31" s="20" t="s">
        <v>151</v>
      </c>
      <c r="D31" s="24">
        <v>4.0</v>
      </c>
      <c r="E31" s="24">
        <v>4.0</v>
      </c>
      <c r="F31" s="24">
        <v>4.0</v>
      </c>
      <c r="G31" s="43"/>
      <c r="H31" s="32">
        <f t="shared" si="1"/>
        <v>12</v>
      </c>
      <c r="I31" s="35">
        <f t="shared" si="2"/>
        <v>10</v>
      </c>
    </row>
    <row r="32">
      <c r="A32" s="33">
        <f t="shared" si="3"/>
        <v>27</v>
      </c>
      <c r="B32" s="20" t="s">
        <v>154</v>
      </c>
      <c r="C32" s="20" t="s">
        <v>155</v>
      </c>
      <c r="D32" s="24">
        <v>4.0</v>
      </c>
      <c r="E32" s="24">
        <v>5.0</v>
      </c>
      <c r="F32" s="24">
        <v>3.0</v>
      </c>
      <c r="G32" s="24">
        <v>7.0</v>
      </c>
      <c r="H32" s="32">
        <f t="shared" si="1"/>
        <v>19</v>
      </c>
      <c r="I32" s="35">
        <f t="shared" si="2"/>
        <v>15.83333333</v>
      </c>
    </row>
    <row r="33">
      <c r="A33" s="33">
        <f t="shared" si="3"/>
        <v>28</v>
      </c>
      <c r="B33" s="20" t="s">
        <v>158</v>
      </c>
      <c r="C33" s="20" t="s">
        <v>159</v>
      </c>
      <c r="D33" s="43"/>
      <c r="E33" s="43"/>
      <c r="F33" s="43"/>
      <c r="G33" s="43"/>
      <c r="H33" s="32">
        <f t="shared" si="1"/>
        <v>0</v>
      </c>
      <c r="I33" s="35">
        <f t="shared" si="2"/>
        <v>0</v>
      </c>
    </row>
    <row r="34">
      <c r="A34" s="33">
        <f t="shared" si="3"/>
        <v>29</v>
      </c>
      <c r="B34" s="20" t="s">
        <v>162</v>
      </c>
      <c r="C34" s="20" t="s">
        <v>163</v>
      </c>
      <c r="D34" s="43"/>
      <c r="E34" s="43"/>
      <c r="F34" s="43"/>
      <c r="G34" s="43"/>
      <c r="H34" s="32">
        <f t="shared" si="1"/>
        <v>0</v>
      </c>
      <c r="I34" s="35">
        <f t="shared" si="2"/>
        <v>0</v>
      </c>
    </row>
    <row r="35">
      <c r="A35" s="33">
        <f t="shared" si="3"/>
        <v>30</v>
      </c>
      <c r="B35" s="20" t="s">
        <v>166</v>
      </c>
      <c r="C35" s="20" t="s">
        <v>167</v>
      </c>
      <c r="D35" s="24">
        <v>6.0</v>
      </c>
      <c r="E35" s="24">
        <v>4.0</v>
      </c>
      <c r="F35" s="24">
        <v>4.0</v>
      </c>
      <c r="G35" s="24">
        <v>7.0</v>
      </c>
      <c r="H35" s="32">
        <f t="shared" si="1"/>
        <v>21</v>
      </c>
      <c r="I35" s="35">
        <f t="shared" si="2"/>
        <v>17.5</v>
      </c>
    </row>
    <row r="36">
      <c r="A36" s="33">
        <f t="shared" si="3"/>
        <v>31</v>
      </c>
      <c r="B36" s="20" t="s">
        <v>170</v>
      </c>
      <c r="C36" s="39" t="s">
        <v>171</v>
      </c>
      <c r="D36" s="24">
        <v>1.0</v>
      </c>
      <c r="E36" s="43"/>
      <c r="F36" s="24">
        <v>3.0</v>
      </c>
      <c r="G36" s="24">
        <v>3.0</v>
      </c>
      <c r="H36" s="32">
        <f t="shared" si="1"/>
        <v>7</v>
      </c>
      <c r="I36" s="35">
        <f t="shared" si="2"/>
        <v>5.833333333</v>
      </c>
    </row>
    <row r="37">
      <c r="A37" s="33">
        <f t="shared" si="3"/>
        <v>32</v>
      </c>
      <c r="B37" s="20" t="s">
        <v>174</v>
      </c>
      <c r="C37" s="39" t="s">
        <v>175</v>
      </c>
      <c r="D37" s="24">
        <v>4.0</v>
      </c>
      <c r="E37" s="24">
        <v>7.0</v>
      </c>
      <c r="F37" s="24">
        <v>6.0</v>
      </c>
      <c r="G37" s="24">
        <v>4.0</v>
      </c>
      <c r="H37" s="32">
        <f t="shared" si="1"/>
        <v>21</v>
      </c>
      <c r="I37" s="35">
        <f t="shared" si="2"/>
        <v>17.5</v>
      </c>
    </row>
    <row r="38">
      <c r="A38" s="33">
        <f t="shared" si="3"/>
        <v>33</v>
      </c>
      <c r="B38" s="20" t="s">
        <v>178</v>
      </c>
      <c r="C38" s="20" t="s">
        <v>179</v>
      </c>
      <c r="D38" s="24">
        <v>3.0</v>
      </c>
      <c r="E38" s="24">
        <v>4.0</v>
      </c>
      <c r="F38" s="24">
        <v>3.0</v>
      </c>
      <c r="G38" s="24">
        <v>3.0</v>
      </c>
      <c r="H38" s="32">
        <f t="shared" si="1"/>
        <v>13</v>
      </c>
      <c r="I38" s="35">
        <f t="shared" si="2"/>
        <v>10.83333333</v>
      </c>
    </row>
    <row r="39">
      <c r="A39" s="33">
        <f t="shared" si="3"/>
        <v>34</v>
      </c>
      <c r="B39" s="20" t="s">
        <v>182</v>
      </c>
      <c r="C39" s="20" t="s">
        <v>183</v>
      </c>
      <c r="D39" s="43"/>
      <c r="E39" s="43"/>
      <c r="F39" s="43"/>
      <c r="G39" s="43"/>
      <c r="H39" s="32">
        <f t="shared" si="1"/>
        <v>0</v>
      </c>
      <c r="I39" s="35">
        <f t="shared" si="2"/>
        <v>0</v>
      </c>
    </row>
    <row r="40">
      <c r="A40" s="33">
        <f t="shared" si="3"/>
        <v>35</v>
      </c>
      <c r="B40" s="20" t="s">
        <v>186</v>
      </c>
      <c r="C40" s="20" t="s">
        <v>187</v>
      </c>
      <c r="D40" s="24">
        <v>5.0</v>
      </c>
      <c r="E40" s="24">
        <v>5.0</v>
      </c>
      <c r="F40" s="24">
        <v>5.0</v>
      </c>
      <c r="G40" s="24">
        <v>5.0</v>
      </c>
      <c r="H40" s="32">
        <f t="shared" si="1"/>
        <v>20</v>
      </c>
      <c r="I40" s="35">
        <f t="shared" si="2"/>
        <v>16.66666667</v>
      </c>
    </row>
    <row r="41">
      <c r="A41" s="33">
        <f t="shared" si="3"/>
        <v>36</v>
      </c>
      <c r="B41" s="20" t="s">
        <v>190</v>
      </c>
      <c r="C41" s="20" t="s">
        <v>191</v>
      </c>
      <c r="D41" s="24">
        <v>3.0</v>
      </c>
      <c r="E41" s="24">
        <v>3.0</v>
      </c>
      <c r="F41" s="24">
        <v>3.0</v>
      </c>
      <c r="G41" s="24">
        <v>7.0</v>
      </c>
      <c r="H41" s="32">
        <f t="shared" si="1"/>
        <v>16</v>
      </c>
      <c r="I41" s="35">
        <f t="shared" si="2"/>
        <v>13.33333333</v>
      </c>
    </row>
    <row r="42">
      <c r="A42" s="33">
        <f t="shared" si="3"/>
        <v>37</v>
      </c>
      <c r="B42" s="20" t="s">
        <v>194</v>
      </c>
      <c r="C42" s="20" t="s">
        <v>195</v>
      </c>
      <c r="D42" s="24">
        <v>5.0</v>
      </c>
      <c r="E42" s="24">
        <v>3.0</v>
      </c>
      <c r="F42" s="43"/>
      <c r="G42" s="24">
        <v>6.0</v>
      </c>
      <c r="H42" s="32">
        <f t="shared" si="1"/>
        <v>14</v>
      </c>
      <c r="I42" s="35">
        <f t="shared" si="2"/>
        <v>11.66666667</v>
      </c>
    </row>
    <row r="43">
      <c r="A43" s="33">
        <f t="shared" si="3"/>
        <v>38</v>
      </c>
      <c r="B43" s="20" t="s">
        <v>198</v>
      </c>
      <c r="C43" s="20" t="s">
        <v>199</v>
      </c>
      <c r="D43" s="24">
        <v>3.0</v>
      </c>
      <c r="E43" s="24">
        <v>4.0</v>
      </c>
      <c r="F43" s="24">
        <v>3.0</v>
      </c>
      <c r="G43" s="24">
        <v>6.0</v>
      </c>
      <c r="H43" s="32">
        <f t="shared" si="1"/>
        <v>16</v>
      </c>
      <c r="I43" s="35">
        <f t="shared" si="2"/>
        <v>13.33333333</v>
      </c>
    </row>
    <row r="44">
      <c r="A44" s="33">
        <f t="shared" si="3"/>
        <v>39</v>
      </c>
      <c r="B44" s="20" t="s">
        <v>202</v>
      </c>
      <c r="C44" s="20" t="s">
        <v>203</v>
      </c>
      <c r="D44" s="24">
        <v>3.0</v>
      </c>
      <c r="E44" s="43"/>
      <c r="F44" s="24">
        <v>3.0</v>
      </c>
      <c r="G44" s="24">
        <v>8.0</v>
      </c>
      <c r="H44" s="32">
        <f t="shared" si="1"/>
        <v>14</v>
      </c>
      <c r="I44" s="35">
        <f t="shared" si="2"/>
        <v>11.66666667</v>
      </c>
    </row>
    <row r="45">
      <c r="A45" s="33">
        <f t="shared" si="3"/>
        <v>40</v>
      </c>
      <c r="B45" s="20" t="s">
        <v>206</v>
      </c>
      <c r="C45" s="20" t="s">
        <v>207</v>
      </c>
      <c r="D45" s="24">
        <v>2.0</v>
      </c>
      <c r="E45" s="24">
        <v>3.0</v>
      </c>
      <c r="F45" s="24">
        <v>1.0</v>
      </c>
      <c r="G45" s="24">
        <v>9.0</v>
      </c>
      <c r="H45" s="32">
        <f t="shared" si="1"/>
        <v>15</v>
      </c>
      <c r="I45" s="35">
        <f t="shared" si="2"/>
        <v>12.5</v>
      </c>
    </row>
    <row r="46">
      <c r="H46" s="52">
        <f>COUNTIF(H6:H45,"&gt;0")</f>
        <v>36</v>
      </c>
      <c r="I46" s="53">
        <f t="shared" si="2"/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43"/>
    <col customWidth="1" min="3" max="3" width="32.57"/>
  </cols>
  <sheetData>
    <row r="2">
      <c r="B2" s="3" t="s">
        <v>2</v>
      </c>
    </row>
    <row r="5">
      <c r="A5" s="5" t="s">
        <v>4</v>
      </c>
      <c r="B5" s="7" t="s">
        <v>6</v>
      </c>
      <c r="C5" s="8" t="s">
        <v>7</v>
      </c>
      <c r="D5" s="9" t="s">
        <v>10</v>
      </c>
      <c r="E5" s="9" t="s">
        <v>12</v>
      </c>
      <c r="F5" s="9" t="s">
        <v>13</v>
      </c>
      <c r="G5" s="9" t="s">
        <v>14</v>
      </c>
      <c r="H5" s="9" t="s">
        <v>16</v>
      </c>
      <c r="I5" s="9" t="s">
        <v>17</v>
      </c>
    </row>
    <row r="6">
      <c r="A6" s="13">
        <v>1.0</v>
      </c>
      <c r="B6" s="16" t="s">
        <v>22</v>
      </c>
      <c r="C6" s="17" t="s">
        <v>30</v>
      </c>
      <c r="D6" s="18"/>
      <c r="E6" s="19"/>
      <c r="F6" s="19"/>
      <c r="G6" s="19"/>
      <c r="H6" s="21"/>
      <c r="I6" s="28">
        <f t="shared" ref="I6:I45" si="1">SUM(D6:H6)</f>
        <v>0</v>
      </c>
    </row>
    <row r="7">
      <c r="A7" s="33">
        <f t="shared" ref="A7:A45" si="2">A6+1</f>
        <v>2</v>
      </c>
      <c r="B7" s="20" t="s">
        <v>50</v>
      </c>
      <c r="C7" s="17" t="s">
        <v>51</v>
      </c>
      <c r="D7" s="34">
        <v>1.0</v>
      </c>
      <c r="E7" s="36">
        <v>2.0</v>
      </c>
      <c r="F7" s="36">
        <v>2.0</v>
      </c>
      <c r="G7" s="36">
        <v>4.0</v>
      </c>
      <c r="H7" s="37">
        <v>3.0</v>
      </c>
      <c r="I7" s="28">
        <f t="shared" si="1"/>
        <v>12</v>
      </c>
    </row>
    <row r="8">
      <c r="A8" s="33">
        <f t="shared" si="2"/>
        <v>3</v>
      </c>
      <c r="B8" s="20" t="s">
        <v>54</v>
      </c>
      <c r="C8" s="17" t="s">
        <v>55</v>
      </c>
      <c r="D8" s="18"/>
      <c r="E8" s="36">
        <v>3.0</v>
      </c>
      <c r="F8" s="36">
        <v>1.0</v>
      </c>
      <c r="G8" s="19"/>
      <c r="H8" s="37">
        <v>3.0</v>
      </c>
      <c r="I8" s="28">
        <f t="shared" si="1"/>
        <v>7</v>
      </c>
    </row>
    <row r="9">
      <c r="A9" s="33">
        <f t="shared" si="2"/>
        <v>4</v>
      </c>
      <c r="B9" s="20" t="s">
        <v>58</v>
      </c>
      <c r="C9" s="17" t="s">
        <v>59</v>
      </c>
      <c r="D9" s="18"/>
      <c r="E9" s="19"/>
      <c r="F9" s="19"/>
      <c r="G9" s="19"/>
      <c r="H9" s="21"/>
      <c r="I9" s="28">
        <f t="shared" si="1"/>
        <v>0</v>
      </c>
    </row>
    <row r="10">
      <c r="A10" s="33">
        <f t="shared" si="2"/>
        <v>5</v>
      </c>
      <c r="B10" s="20" t="s">
        <v>63</v>
      </c>
      <c r="C10" s="17" t="s">
        <v>64</v>
      </c>
      <c r="D10" s="34">
        <v>1.0</v>
      </c>
      <c r="E10" s="36">
        <v>3.0</v>
      </c>
      <c r="F10" s="19"/>
      <c r="G10" s="36">
        <v>4.0</v>
      </c>
      <c r="H10" s="37">
        <v>7.0</v>
      </c>
      <c r="I10" s="28">
        <f t="shared" si="1"/>
        <v>15</v>
      </c>
    </row>
    <row r="11">
      <c r="A11" s="33">
        <f t="shared" si="2"/>
        <v>6</v>
      </c>
      <c r="B11" s="20" t="s">
        <v>67</v>
      </c>
      <c r="C11" s="17" t="s">
        <v>68</v>
      </c>
      <c r="D11" s="34">
        <v>4.0</v>
      </c>
      <c r="E11" s="36">
        <v>3.0</v>
      </c>
      <c r="F11" s="36">
        <v>3.0</v>
      </c>
      <c r="G11" s="36">
        <v>6.0</v>
      </c>
      <c r="H11" s="37">
        <v>6.0</v>
      </c>
      <c r="I11" s="28">
        <f t="shared" si="1"/>
        <v>22</v>
      </c>
    </row>
    <row r="12">
      <c r="A12" s="33">
        <f t="shared" si="2"/>
        <v>7</v>
      </c>
      <c r="B12" s="20" t="s">
        <v>71</v>
      </c>
      <c r="C12" s="17" t="s">
        <v>72</v>
      </c>
      <c r="D12" s="34">
        <v>2.0</v>
      </c>
      <c r="E12" s="36">
        <v>2.0</v>
      </c>
      <c r="F12" s="36">
        <v>1.0</v>
      </c>
      <c r="G12" s="36">
        <v>1.0</v>
      </c>
      <c r="H12" s="37">
        <v>5.0</v>
      </c>
      <c r="I12" s="28">
        <f t="shared" si="1"/>
        <v>11</v>
      </c>
    </row>
    <row r="13">
      <c r="A13" s="33">
        <f t="shared" si="2"/>
        <v>8</v>
      </c>
      <c r="B13" s="20" t="s">
        <v>75</v>
      </c>
      <c r="C13" s="17" t="s">
        <v>76</v>
      </c>
      <c r="D13" s="34">
        <v>3.0</v>
      </c>
      <c r="E13" s="36">
        <v>4.0</v>
      </c>
      <c r="F13" s="36">
        <v>2.0</v>
      </c>
      <c r="G13" s="36">
        <v>5.0</v>
      </c>
      <c r="H13" s="37">
        <v>6.0</v>
      </c>
      <c r="I13" s="28">
        <f t="shared" si="1"/>
        <v>20</v>
      </c>
    </row>
    <row r="14">
      <c r="A14" s="33">
        <f t="shared" si="2"/>
        <v>9</v>
      </c>
      <c r="B14" s="20" t="s">
        <v>79</v>
      </c>
      <c r="C14" s="17" t="s">
        <v>80</v>
      </c>
      <c r="D14" s="34">
        <v>2.0</v>
      </c>
      <c r="E14" s="36">
        <v>2.0</v>
      </c>
      <c r="F14" s="36">
        <v>3.0</v>
      </c>
      <c r="G14" s="36">
        <v>4.0</v>
      </c>
      <c r="H14" s="37">
        <v>5.0</v>
      </c>
      <c r="I14" s="28">
        <f t="shared" si="1"/>
        <v>16</v>
      </c>
    </row>
    <row r="15">
      <c r="A15" s="33">
        <f t="shared" si="2"/>
        <v>10</v>
      </c>
      <c r="B15" s="20" t="s">
        <v>83</v>
      </c>
      <c r="C15" s="17" t="s">
        <v>84</v>
      </c>
      <c r="D15" s="18"/>
      <c r="E15" s="36">
        <v>3.0</v>
      </c>
      <c r="F15" s="36">
        <v>2.0</v>
      </c>
      <c r="G15" s="36">
        <v>2.0</v>
      </c>
      <c r="H15" s="37">
        <v>2.0</v>
      </c>
      <c r="I15" s="28">
        <f t="shared" si="1"/>
        <v>9</v>
      </c>
    </row>
    <row r="16">
      <c r="A16" s="33">
        <f t="shared" si="2"/>
        <v>11</v>
      </c>
      <c r="B16" s="20" t="s">
        <v>87</v>
      </c>
      <c r="C16" s="17" t="s">
        <v>88</v>
      </c>
      <c r="D16" s="18"/>
      <c r="E16" s="19"/>
      <c r="F16" s="19"/>
      <c r="G16" s="19"/>
      <c r="H16" s="21"/>
      <c r="I16" s="28">
        <f t="shared" si="1"/>
        <v>0</v>
      </c>
    </row>
    <row r="17">
      <c r="A17" s="33">
        <f t="shared" si="2"/>
        <v>12</v>
      </c>
      <c r="B17" s="20" t="s">
        <v>92</v>
      </c>
      <c r="C17" s="17" t="s">
        <v>93</v>
      </c>
      <c r="D17" s="34">
        <v>3.0</v>
      </c>
      <c r="E17" s="36">
        <v>3.0</v>
      </c>
      <c r="F17" s="36">
        <v>2.0</v>
      </c>
      <c r="G17" s="36">
        <v>6.0</v>
      </c>
      <c r="H17" s="37">
        <v>6.0</v>
      </c>
      <c r="I17" s="28">
        <f t="shared" si="1"/>
        <v>20</v>
      </c>
    </row>
    <row r="18">
      <c r="A18" s="33">
        <f t="shared" si="2"/>
        <v>13</v>
      </c>
      <c r="B18" s="20" t="s">
        <v>96</v>
      </c>
      <c r="C18" s="17" t="s">
        <v>97</v>
      </c>
      <c r="D18" s="34">
        <v>5.0</v>
      </c>
      <c r="E18" s="36">
        <v>5.0</v>
      </c>
      <c r="F18" s="36">
        <v>2.0</v>
      </c>
      <c r="G18" s="36">
        <v>1.0</v>
      </c>
      <c r="H18" s="37">
        <v>7.0</v>
      </c>
      <c r="I18" s="28">
        <f t="shared" si="1"/>
        <v>20</v>
      </c>
    </row>
    <row r="19">
      <c r="A19" s="33">
        <f t="shared" si="2"/>
        <v>14</v>
      </c>
      <c r="B19" s="20" t="s">
        <v>101</v>
      </c>
      <c r="C19" s="17" t="s">
        <v>102</v>
      </c>
      <c r="D19" s="34">
        <v>6.0</v>
      </c>
      <c r="E19" s="36">
        <v>3.0</v>
      </c>
      <c r="F19" s="36">
        <v>3.0</v>
      </c>
      <c r="G19" s="36">
        <v>6.0</v>
      </c>
      <c r="H19" s="37">
        <v>5.0</v>
      </c>
      <c r="I19" s="28">
        <f t="shared" si="1"/>
        <v>23</v>
      </c>
    </row>
    <row r="20">
      <c r="A20" s="33">
        <f t="shared" si="2"/>
        <v>15</v>
      </c>
      <c r="B20" s="20" t="s">
        <v>105</v>
      </c>
      <c r="C20" s="17" t="s">
        <v>106</v>
      </c>
      <c r="D20" s="34">
        <v>2.0</v>
      </c>
      <c r="E20" s="36">
        <v>3.0</v>
      </c>
      <c r="F20" s="36">
        <v>2.0</v>
      </c>
      <c r="G20" s="36">
        <v>2.0</v>
      </c>
      <c r="H20" s="37">
        <v>6.0</v>
      </c>
      <c r="I20" s="28">
        <f t="shared" si="1"/>
        <v>15</v>
      </c>
    </row>
    <row r="21">
      <c r="A21" s="33">
        <f t="shared" si="2"/>
        <v>16</v>
      </c>
      <c r="B21" s="20" t="s">
        <v>109</v>
      </c>
      <c r="C21" s="17" t="s">
        <v>110</v>
      </c>
      <c r="D21" s="34">
        <v>6.0</v>
      </c>
      <c r="E21" s="36">
        <v>5.0</v>
      </c>
      <c r="F21" s="36">
        <v>3.0</v>
      </c>
      <c r="G21" s="36">
        <v>4.0</v>
      </c>
      <c r="H21" s="37">
        <v>9.0</v>
      </c>
      <c r="I21" s="28">
        <f t="shared" si="1"/>
        <v>27</v>
      </c>
    </row>
    <row r="22">
      <c r="A22" s="33">
        <f t="shared" si="2"/>
        <v>17</v>
      </c>
      <c r="B22" s="20" t="s">
        <v>113</v>
      </c>
      <c r="C22" s="17" t="s">
        <v>114</v>
      </c>
      <c r="D22" s="18"/>
      <c r="E22" s="36">
        <v>2.0</v>
      </c>
      <c r="F22" s="36">
        <v>2.0</v>
      </c>
      <c r="G22" s="36">
        <v>4.0</v>
      </c>
      <c r="H22" s="37">
        <v>4.0</v>
      </c>
      <c r="I22" s="28">
        <f t="shared" si="1"/>
        <v>12</v>
      </c>
    </row>
    <row r="23">
      <c r="A23" s="33">
        <f t="shared" si="2"/>
        <v>18</v>
      </c>
      <c r="B23" s="20" t="s">
        <v>117</v>
      </c>
      <c r="C23" s="17" t="s">
        <v>118</v>
      </c>
      <c r="D23" s="18"/>
      <c r="E23" s="19"/>
      <c r="F23" s="19"/>
      <c r="G23" s="19"/>
      <c r="H23" s="21"/>
      <c r="I23" s="28">
        <f t="shared" si="1"/>
        <v>0</v>
      </c>
    </row>
    <row r="24">
      <c r="A24" s="33">
        <f t="shared" si="2"/>
        <v>19</v>
      </c>
      <c r="B24" s="20" t="s">
        <v>121</v>
      </c>
      <c r="C24" s="17" t="s">
        <v>122</v>
      </c>
      <c r="D24" s="34">
        <v>6.0</v>
      </c>
      <c r="E24" s="36">
        <v>8.0</v>
      </c>
      <c r="F24" s="19"/>
      <c r="G24" s="36">
        <v>6.0</v>
      </c>
      <c r="H24" s="37">
        <v>9.0</v>
      </c>
      <c r="I24" s="28">
        <f t="shared" si="1"/>
        <v>29</v>
      </c>
    </row>
    <row r="25">
      <c r="A25" s="33">
        <f t="shared" si="2"/>
        <v>20</v>
      </c>
      <c r="B25" s="20" t="s">
        <v>126</v>
      </c>
      <c r="C25" s="17" t="s">
        <v>127</v>
      </c>
      <c r="D25" s="18"/>
      <c r="E25" s="19"/>
      <c r="F25" s="19"/>
      <c r="G25" s="19"/>
      <c r="H25" s="37">
        <v>3.0</v>
      </c>
      <c r="I25" s="28">
        <f t="shared" si="1"/>
        <v>3</v>
      </c>
    </row>
    <row r="26">
      <c r="A26" s="33">
        <f t="shared" si="2"/>
        <v>21</v>
      </c>
      <c r="B26" s="20" t="s">
        <v>130</v>
      </c>
      <c r="C26" s="17" t="s">
        <v>131</v>
      </c>
      <c r="D26" s="18"/>
      <c r="E26" s="19"/>
      <c r="F26" s="19"/>
      <c r="G26" s="19"/>
      <c r="H26" s="21"/>
      <c r="I26" s="28">
        <f t="shared" si="1"/>
        <v>0</v>
      </c>
    </row>
    <row r="27">
      <c r="A27" s="33">
        <f t="shared" si="2"/>
        <v>22</v>
      </c>
      <c r="B27" s="20" t="s">
        <v>134</v>
      </c>
      <c r="C27" s="17" t="s">
        <v>135</v>
      </c>
      <c r="D27" s="18"/>
      <c r="E27" s="36">
        <v>8.0</v>
      </c>
      <c r="F27" s="36">
        <v>3.0</v>
      </c>
      <c r="G27" s="19"/>
      <c r="H27" s="37">
        <v>2.0</v>
      </c>
      <c r="I27" s="28">
        <f t="shared" si="1"/>
        <v>13</v>
      </c>
    </row>
    <row r="28">
      <c r="A28" s="33">
        <f t="shared" si="2"/>
        <v>23</v>
      </c>
      <c r="B28" s="20" t="s">
        <v>138</v>
      </c>
      <c r="C28" s="17" t="s">
        <v>139</v>
      </c>
      <c r="D28" s="34">
        <v>1.0</v>
      </c>
      <c r="E28" s="36">
        <v>3.0</v>
      </c>
      <c r="F28" s="36">
        <v>2.0</v>
      </c>
      <c r="G28" s="36">
        <v>6.0</v>
      </c>
      <c r="H28" s="37">
        <v>8.0</v>
      </c>
      <c r="I28" s="28">
        <f t="shared" si="1"/>
        <v>20</v>
      </c>
    </row>
    <row r="29">
      <c r="A29" s="33">
        <f t="shared" si="2"/>
        <v>24</v>
      </c>
      <c r="B29" s="20" t="s">
        <v>142</v>
      </c>
      <c r="C29" s="17" t="s">
        <v>143</v>
      </c>
      <c r="D29" s="18"/>
      <c r="E29" s="36">
        <v>4.0</v>
      </c>
      <c r="F29" s="36">
        <v>3.0</v>
      </c>
      <c r="G29" s="36">
        <v>4.0</v>
      </c>
      <c r="H29" s="37">
        <v>7.0</v>
      </c>
      <c r="I29" s="28">
        <f t="shared" si="1"/>
        <v>18</v>
      </c>
    </row>
    <row r="30">
      <c r="A30" s="33">
        <f t="shared" si="2"/>
        <v>25</v>
      </c>
      <c r="B30" s="20" t="s">
        <v>146</v>
      </c>
      <c r="C30" s="17" t="s">
        <v>147</v>
      </c>
      <c r="D30" s="34">
        <v>2.0</v>
      </c>
      <c r="E30" s="36">
        <v>3.0</v>
      </c>
      <c r="F30" s="36">
        <v>2.0</v>
      </c>
      <c r="G30" s="36">
        <v>3.0</v>
      </c>
      <c r="H30" s="37">
        <v>4.0</v>
      </c>
      <c r="I30" s="28">
        <f t="shared" si="1"/>
        <v>14</v>
      </c>
    </row>
    <row r="31">
      <c r="A31" s="33">
        <f t="shared" si="2"/>
        <v>26</v>
      </c>
      <c r="B31" s="20" t="s">
        <v>150</v>
      </c>
      <c r="C31" s="17" t="s">
        <v>151</v>
      </c>
      <c r="D31" s="34">
        <v>4.0</v>
      </c>
      <c r="E31" s="36">
        <v>3.0</v>
      </c>
      <c r="F31" s="36">
        <v>2.0</v>
      </c>
      <c r="G31" s="36">
        <v>5.0</v>
      </c>
      <c r="H31" s="37">
        <v>6.0</v>
      </c>
      <c r="I31" s="28">
        <f t="shared" si="1"/>
        <v>20</v>
      </c>
    </row>
    <row r="32">
      <c r="A32" s="33">
        <f t="shared" si="2"/>
        <v>27</v>
      </c>
      <c r="B32" s="20" t="s">
        <v>154</v>
      </c>
      <c r="C32" s="17" t="s">
        <v>155</v>
      </c>
      <c r="D32" s="34">
        <v>3.0</v>
      </c>
      <c r="E32" s="36">
        <v>3.0</v>
      </c>
      <c r="F32" s="36">
        <v>2.0</v>
      </c>
      <c r="G32" s="36">
        <v>2.0</v>
      </c>
      <c r="H32" s="37">
        <v>10.0</v>
      </c>
      <c r="I32" s="28">
        <f t="shared" si="1"/>
        <v>20</v>
      </c>
    </row>
    <row r="33">
      <c r="A33" s="33">
        <f t="shared" si="2"/>
        <v>28</v>
      </c>
      <c r="B33" s="20" t="s">
        <v>158</v>
      </c>
      <c r="C33" s="17" t="s">
        <v>159</v>
      </c>
      <c r="D33" s="18"/>
      <c r="E33" s="19"/>
      <c r="F33" s="19"/>
      <c r="G33" s="19"/>
      <c r="H33" s="21"/>
      <c r="I33" s="28">
        <f t="shared" si="1"/>
        <v>0</v>
      </c>
    </row>
    <row r="34">
      <c r="A34" s="33">
        <f t="shared" si="2"/>
        <v>29</v>
      </c>
      <c r="B34" s="20" t="s">
        <v>162</v>
      </c>
      <c r="C34" s="17" t="s">
        <v>163</v>
      </c>
      <c r="D34" s="18"/>
      <c r="E34" s="19"/>
      <c r="F34" s="19"/>
      <c r="G34" s="19"/>
      <c r="H34" s="21"/>
      <c r="I34" s="28">
        <f t="shared" si="1"/>
        <v>0</v>
      </c>
    </row>
    <row r="35">
      <c r="A35" s="33">
        <f t="shared" si="2"/>
        <v>30</v>
      </c>
      <c r="B35" s="20" t="s">
        <v>166</v>
      </c>
      <c r="C35" s="17" t="s">
        <v>167</v>
      </c>
      <c r="D35" s="34">
        <v>4.0</v>
      </c>
      <c r="E35" s="36">
        <v>3.0</v>
      </c>
      <c r="F35" s="36">
        <v>2.0</v>
      </c>
      <c r="G35" s="36">
        <v>6.0</v>
      </c>
      <c r="H35" s="37">
        <v>8.0</v>
      </c>
      <c r="I35" s="28">
        <f t="shared" si="1"/>
        <v>23</v>
      </c>
    </row>
    <row r="36">
      <c r="A36" s="33">
        <f t="shared" si="2"/>
        <v>31</v>
      </c>
      <c r="B36" s="20" t="s">
        <v>170</v>
      </c>
      <c r="C36" s="17" t="s">
        <v>171</v>
      </c>
      <c r="D36" s="34">
        <v>1.0</v>
      </c>
      <c r="E36" s="36">
        <v>2.0</v>
      </c>
      <c r="F36" s="36">
        <v>2.0</v>
      </c>
      <c r="G36" s="36">
        <v>2.0</v>
      </c>
      <c r="H36" s="37">
        <v>2.0</v>
      </c>
      <c r="I36" s="28">
        <f t="shared" si="1"/>
        <v>9</v>
      </c>
    </row>
    <row r="37">
      <c r="A37" s="33">
        <f t="shared" si="2"/>
        <v>32</v>
      </c>
      <c r="B37" s="20" t="s">
        <v>174</v>
      </c>
      <c r="C37" s="17" t="s">
        <v>175</v>
      </c>
      <c r="D37" s="34">
        <v>3.0</v>
      </c>
      <c r="E37" s="36">
        <v>3.0</v>
      </c>
      <c r="F37" s="36">
        <v>2.0</v>
      </c>
      <c r="G37" s="36">
        <v>6.0</v>
      </c>
      <c r="H37" s="37">
        <v>7.0</v>
      </c>
      <c r="I37" s="28">
        <f t="shared" si="1"/>
        <v>21</v>
      </c>
    </row>
    <row r="38">
      <c r="A38" s="33">
        <f t="shared" si="2"/>
        <v>33</v>
      </c>
      <c r="B38" s="20" t="s">
        <v>178</v>
      </c>
      <c r="C38" s="17" t="s">
        <v>179</v>
      </c>
      <c r="D38" s="34">
        <v>2.0</v>
      </c>
      <c r="E38" s="36">
        <v>3.0</v>
      </c>
      <c r="F38" s="36">
        <v>2.0</v>
      </c>
      <c r="G38" s="36">
        <v>2.0</v>
      </c>
      <c r="H38" s="37">
        <v>4.0</v>
      </c>
      <c r="I38" s="28">
        <f t="shared" si="1"/>
        <v>13</v>
      </c>
    </row>
    <row r="39">
      <c r="A39" s="33">
        <f t="shared" si="2"/>
        <v>34</v>
      </c>
      <c r="B39" s="20" t="s">
        <v>182</v>
      </c>
      <c r="C39" s="17" t="s">
        <v>183</v>
      </c>
      <c r="D39" s="18"/>
      <c r="E39" s="19"/>
      <c r="F39" s="19"/>
      <c r="G39" s="19"/>
      <c r="H39" s="21"/>
      <c r="I39" s="28">
        <f t="shared" si="1"/>
        <v>0</v>
      </c>
    </row>
    <row r="40">
      <c r="A40" s="33">
        <f t="shared" si="2"/>
        <v>35</v>
      </c>
      <c r="B40" s="20" t="s">
        <v>186</v>
      </c>
      <c r="C40" s="17" t="s">
        <v>187</v>
      </c>
      <c r="D40" s="34">
        <v>3.0</v>
      </c>
      <c r="E40" s="36">
        <v>3.0</v>
      </c>
      <c r="F40" s="36">
        <v>3.0</v>
      </c>
      <c r="G40" s="36">
        <v>2.0</v>
      </c>
      <c r="H40" s="37">
        <v>5.0</v>
      </c>
      <c r="I40" s="28">
        <f t="shared" si="1"/>
        <v>16</v>
      </c>
    </row>
    <row r="41">
      <c r="A41" s="33">
        <f t="shared" si="2"/>
        <v>36</v>
      </c>
      <c r="B41" s="20" t="s">
        <v>190</v>
      </c>
      <c r="C41" s="17" t="s">
        <v>191</v>
      </c>
      <c r="D41" s="34">
        <v>1.0</v>
      </c>
      <c r="E41" s="36">
        <v>3.0</v>
      </c>
      <c r="F41" s="36">
        <v>2.0</v>
      </c>
      <c r="G41" s="36">
        <v>6.0</v>
      </c>
      <c r="H41" s="37">
        <v>5.0</v>
      </c>
      <c r="I41" s="28">
        <f t="shared" si="1"/>
        <v>17</v>
      </c>
    </row>
    <row r="42">
      <c r="A42" s="33">
        <f t="shared" si="2"/>
        <v>37</v>
      </c>
      <c r="B42" s="20" t="s">
        <v>194</v>
      </c>
      <c r="C42" s="17" t="s">
        <v>195</v>
      </c>
      <c r="D42" s="34">
        <v>2.0</v>
      </c>
      <c r="E42" s="36">
        <v>2.0</v>
      </c>
      <c r="F42" s="36">
        <v>3.0</v>
      </c>
      <c r="G42" s="36">
        <v>6.0</v>
      </c>
      <c r="H42" s="37">
        <v>5.0</v>
      </c>
      <c r="I42" s="28">
        <f t="shared" si="1"/>
        <v>18</v>
      </c>
    </row>
    <row r="43">
      <c r="A43" s="33">
        <f t="shared" si="2"/>
        <v>38</v>
      </c>
      <c r="B43" s="20" t="s">
        <v>198</v>
      </c>
      <c r="C43" s="17" t="s">
        <v>199</v>
      </c>
      <c r="D43" s="34">
        <v>4.0</v>
      </c>
      <c r="E43" s="36">
        <v>5.0</v>
      </c>
      <c r="F43" s="36">
        <v>2.0</v>
      </c>
      <c r="G43" s="36">
        <v>2.0</v>
      </c>
      <c r="H43" s="37">
        <v>5.0</v>
      </c>
      <c r="I43" s="28">
        <f t="shared" si="1"/>
        <v>18</v>
      </c>
    </row>
    <row r="44">
      <c r="A44" s="33">
        <f t="shared" si="2"/>
        <v>39</v>
      </c>
      <c r="B44" s="20" t="s">
        <v>202</v>
      </c>
      <c r="C44" s="17" t="s">
        <v>203</v>
      </c>
      <c r="D44" s="34">
        <v>1.0</v>
      </c>
      <c r="E44" s="19"/>
      <c r="F44" s="36">
        <v>1.0</v>
      </c>
      <c r="G44" s="36">
        <v>6.0</v>
      </c>
      <c r="H44" s="37">
        <v>6.0</v>
      </c>
      <c r="I44" s="28">
        <f t="shared" si="1"/>
        <v>14</v>
      </c>
    </row>
    <row r="45">
      <c r="A45" s="33">
        <f t="shared" si="2"/>
        <v>40</v>
      </c>
      <c r="B45" s="20" t="s">
        <v>206</v>
      </c>
      <c r="C45" s="17" t="s">
        <v>207</v>
      </c>
      <c r="D45" s="34">
        <v>2.0</v>
      </c>
      <c r="E45" s="36">
        <v>2.0</v>
      </c>
      <c r="F45" s="36">
        <v>2.0</v>
      </c>
      <c r="G45" s="36">
        <v>6.0</v>
      </c>
      <c r="H45" s="37">
        <v>4.0</v>
      </c>
      <c r="I45" s="28">
        <f t="shared" si="1"/>
        <v>16</v>
      </c>
    </row>
    <row r="46">
      <c r="I46" s="48">
        <f>COUNTIF(I6:I45,"&gt;0")</f>
        <v>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6.0"/>
    <col customWidth="1" min="3" max="3" width="32.14"/>
  </cols>
  <sheetData>
    <row r="1">
      <c r="A1" s="50"/>
      <c r="B1" s="51"/>
      <c r="C1" s="6"/>
      <c r="D1" s="50"/>
      <c r="E1" s="50"/>
      <c r="F1" s="50"/>
      <c r="G1" s="50"/>
      <c r="H1" s="50"/>
      <c r="I1" s="50"/>
      <c r="J1" s="50"/>
    </row>
    <row r="2">
      <c r="A2" s="50"/>
      <c r="B2" s="51"/>
      <c r="C2" s="6"/>
      <c r="D2" s="50"/>
      <c r="E2" s="50"/>
      <c r="F2" s="50"/>
      <c r="G2" s="50"/>
      <c r="H2" s="50"/>
      <c r="I2" s="50"/>
      <c r="J2" s="50"/>
    </row>
    <row r="3">
      <c r="A3" s="50"/>
      <c r="B3" s="51"/>
      <c r="C3" s="6"/>
      <c r="D3" s="50"/>
      <c r="E3" s="50"/>
      <c r="F3" s="50"/>
      <c r="G3" s="50"/>
      <c r="H3" s="50"/>
      <c r="I3" s="50"/>
      <c r="J3" s="50"/>
    </row>
    <row r="4">
      <c r="A4" s="50"/>
      <c r="B4" s="54" t="s">
        <v>210</v>
      </c>
      <c r="C4" s="6"/>
      <c r="D4" s="50"/>
      <c r="E4" s="50"/>
      <c r="F4" s="50"/>
      <c r="G4" s="50"/>
      <c r="H4" s="50"/>
      <c r="I4" s="50"/>
      <c r="J4" s="50"/>
    </row>
    <row r="5">
      <c r="A5" s="50"/>
      <c r="B5" s="51"/>
      <c r="C5" s="6"/>
      <c r="D5" s="50"/>
      <c r="E5" s="50"/>
      <c r="F5" s="50"/>
      <c r="G5" s="50"/>
      <c r="H5" s="50"/>
      <c r="I5" s="50"/>
      <c r="J5" s="50"/>
    </row>
    <row r="6">
      <c r="A6" s="50"/>
      <c r="B6" s="51"/>
      <c r="C6" s="6"/>
      <c r="D6" s="50"/>
      <c r="E6" s="50"/>
      <c r="F6" s="50"/>
      <c r="G6" s="50"/>
      <c r="H6" s="50"/>
      <c r="I6" s="50"/>
      <c r="J6" s="50"/>
    </row>
    <row r="7">
      <c r="A7" s="55" t="s">
        <v>211</v>
      </c>
      <c r="B7" s="55" t="s">
        <v>6</v>
      </c>
      <c r="C7" s="56" t="s">
        <v>7</v>
      </c>
      <c r="D7" s="57" t="s">
        <v>212</v>
      </c>
      <c r="E7" s="57" t="s">
        <v>213</v>
      </c>
      <c r="F7" s="57" t="s">
        <v>214</v>
      </c>
      <c r="G7" s="57" t="s">
        <v>215</v>
      </c>
      <c r="H7" s="57" t="s">
        <v>216</v>
      </c>
      <c r="I7" s="57" t="s">
        <v>217</v>
      </c>
      <c r="J7" s="57" t="s">
        <v>218</v>
      </c>
    </row>
    <row r="8">
      <c r="A8" s="13">
        <v>1.0</v>
      </c>
      <c r="B8" s="16" t="s">
        <v>22</v>
      </c>
      <c r="C8" s="17" t="s">
        <v>30</v>
      </c>
      <c r="D8" s="58">
        <f>'Quiz Marks'!M6</f>
        <v>4.416666667</v>
      </c>
      <c r="E8" s="59">
        <v>13.8</v>
      </c>
      <c r="F8" s="58">
        <f>'Mid Marks'!I6</f>
        <v>10.83333333</v>
      </c>
      <c r="G8" s="53">
        <f>'Final Marks'!I6</f>
        <v>0</v>
      </c>
      <c r="H8" s="58">
        <f t="shared" ref="H8:H47" si="1">SUM(D8:G8)</f>
        <v>29.05</v>
      </c>
      <c r="I8" s="63">
        <f t="shared" ref="I8:I47" si="2">IF(AND(H8&gt;=96.5,H8&lt;97),H8,ROUND(H8,0))</f>
        <v>29</v>
      </c>
      <c r="J8" s="64" t="str">
        <f t="shared" ref="J8:J47" si="3">IF(I8&lt;65,IF(I8&lt;55,IF(I8&lt;52,IF(I8&lt;50,"F","D-"),"D"),IF(I8&lt;57,"D+",IF(I8&lt;60,"C-","C"))),IF(I8&lt;75,IF(I8&lt;70,"C+","B-"),IF(I8&lt;85,IF(I8&lt;80,"B","B+"),IF(I8&lt;90,"A-",IF(I8&lt;97,"A","A+")))))</f>
        <v>F</v>
      </c>
    </row>
    <row r="9">
      <c r="A9" s="33">
        <f t="shared" ref="A9:A47" si="4">A8+1</f>
        <v>2</v>
      </c>
      <c r="B9" s="20" t="s">
        <v>50</v>
      </c>
      <c r="C9" s="17" t="s">
        <v>51</v>
      </c>
      <c r="D9" s="58">
        <f>'Quiz Marks'!M7</f>
        <v>6.583333333</v>
      </c>
      <c r="E9" s="59">
        <v>10.3</v>
      </c>
      <c r="F9" s="58">
        <f>'Mid Marks'!I7</f>
        <v>9.166666667</v>
      </c>
      <c r="G9" s="53">
        <f>'Final Marks'!I7</f>
        <v>12</v>
      </c>
      <c r="H9" s="58">
        <f t="shared" si="1"/>
        <v>38.05</v>
      </c>
      <c r="I9" s="63">
        <f t="shared" si="2"/>
        <v>38</v>
      </c>
      <c r="J9" s="64" t="str">
        <f t="shared" si="3"/>
        <v>F</v>
      </c>
    </row>
    <row r="10">
      <c r="A10" s="33">
        <f t="shared" si="4"/>
        <v>3</v>
      </c>
      <c r="B10" s="20" t="s">
        <v>54</v>
      </c>
      <c r="C10" s="17" t="s">
        <v>55</v>
      </c>
      <c r="D10" s="58">
        <f>'Quiz Marks'!M8</f>
        <v>9</v>
      </c>
      <c r="E10" s="59">
        <v>13.4</v>
      </c>
      <c r="F10" s="58">
        <f>'Mid Marks'!I8</f>
        <v>6.666666667</v>
      </c>
      <c r="G10" s="53">
        <f>'Final Marks'!I8</f>
        <v>7</v>
      </c>
      <c r="H10" s="58">
        <f t="shared" si="1"/>
        <v>36.06666667</v>
      </c>
      <c r="I10" s="63">
        <f t="shared" si="2"/>
        <v>36</v>
      </c>
      <c r="J10" s="64" t="str">
        <f t="shared" si="3"/>
        <v>F</v>
      </c>
    </row>
    <row r="11">
      <c r="A11" s="33">
        <f t="shared" si="4"/>
        <v>4</v>
      </c>
      <c r="B11" s="20" t="s">
        <v>58</v>
      </c>
      <c r="C11" s="17" t="s">
        <v>59</v>
      </c>
      <c r="D11" s="58">
        <f>'Quiz Marks'!M9</f>
        <v>0</v>
      </c>
      <c r="F11" s="58">
        <f>'Mid Marks'!I9</f>
        <v>0</v>
      </c>
      <c r="G11" s="53">
        <f>'Final Marks'!I9</f>
        <v>0</v>
      </c>
      <c r="H11" s="58">
        <f t="shared" si="1"/>
        <v>0</v>
      </c>
      <c r="I11" s="63">
        <f t="shared" si="2"/>
        <v>0</v>
      </c>
      <c r="J11" s="64" t="str">
        <f t="shared" si="3"/>
        <v>F</v>
      </c>
    </row>
    <row r="12">
      <c r="A12" s="33">
        <f t="shared" si="4"/>
        <v>5</v>
      </c>
      <c r="B12" s="20" t="s">
        <v>63</v>
      </c>
      <c r="C12" s="17" t="s">
        <v>64</v>
      </c>
      <c r="D12" s="58">
        <f>'Quiz Marks'!M10</f>
        <v>5.416666667</v>
      </c>
      <c r="E12" s="59">
        <v>13.1</v>
      </c>
      <c r="F12" s="58">
        <f>'Mid Marks'!I10</f>
        <v>9.166666667</v>
      </c>
      <c r="G12" s="53">
        <f>'Final Marks'!I10</f>
        <v>15</v>
      </c>
      <c r="H12" s="58">
        <f t="shared" si="1"/>
        <v>42.68333333</v>
      </c>
      <c r="I12" s="63">
        <f t="shared" si="2"/>
        <v>43</v>
      </c>
      <c r="J12" s="64" t="str">
        <f t="shared" si="3"/>
        <v>F</v>
      </c>
    </row>
    <row r="13">
      <c r="A13" s="33">
        <f t="shared" si="4"/>
        <v>6</v>
      </c>
      <c r="B13" s="20" t="s">
        <v>67</v>
      </c>
      <c r="C13" s="17" t="s">
        <v>68</v>
      </c>
      <c r="D13" s="58">
        <f>'Quiz Marks'!M11</f>
        <v>9.5</v>
      </c>
      <c r="E13" s="59">
        <v>21.6</v>
      </c>
      <c r="F13" s="58">
        <f>'Mid Marks'!I11</f>
        <v>16.66666667</v>
      </c>
      <c r="G13" s="53">
        <f>'Final Marks'!I11</f>
        <v>22</v>
      </c>
      <c r="H13" s="58">
        <f t="shared" si="1"/>
        <v>69.76666667</v>
      </c>
      <c r="I13" s="63">
        <f t="shared" si="2"/>
        <v>70</v>
      </c>
      <c r="J13" s="64" t="str">
        <f t="shared" si="3"/>
        <v>B-</v>
      </c>
    </row>
    <row r="14">
      <c r="A14" s="33">
        <f t="shared" si="4"/>
        <v>7</v>
      </c>
      <c r="B14" s="20" t="s">
        <v>71</v>
      </c>
      <c r="C14" s="17" t="s">
        <v>72</v>
      </c>
      <c r="D14" s="58">
        <f>'Quiz Marks'!M12</f>
        <v>4</v>
      </c>
      <c r="E14" s="59">
        <v>19.0</v>
      </c>
      <c r="F14" s="58">
        <f>'Mid Marks'!I12</f>
        <v>10.83333333</v>
      </c>
      <c r="G14" s="53">
        <f>'Final Marks'!I12</f>
        <v>11</v>
      </c>
      <c r="H14" s="58">
        <f t="shared" si="1"/>
        <v>44.83333333</v>
      </c>
      <c r="I14" s="63">
        <f t="shared" si="2"/>
        <v>45</v>
      </c>
      <c r="J14" s="64" t="str">
        <f t="shared" si="3"/>
        <v>F</v>
      </c>
    </row>
    <row r="15">
      <c r="A15" s="33">
        <f t="shared" si="4"/>
        <v>8</v>
      </c>
      <c r="B15" s="20" t="s">
        <v>75</v>
      </c>
      <c r="C15" s="17" t="s">
        <v>76</v>
      </c>
      <c r="D15" s="58">
        <f>'Quiz Marks'!M13</f>
        <v>14</v>
      </c>
      <c r="E15" s="59">
        <v>24.8</v>
      </c>
      <c r="F15" s="58">
        <f>'Mid Marks'!I13</f>
        <v>15.83333333</v>
      </c>
      <c r="G15" s="53">
        <f>'Final Marks'!I13</f>
        <v>20</v>
      </c>
      <c r="H15" s="58">
        <f t="shared" si="1"/>
        <v>74.63333333</v>
      </c>
      <c r="I15" s="63">
        <f t="shared" si="2"/>
        <v>75</v>
      </c>
      <c r="J15" s="64" t="str">
        <f t="shared" si="3"/>
        <v>B</v>
      </c>
    </row>
    <row r="16">
      <c r="A16" s="33">
        <f t="shared" si="4"/>
        <v>9</v>
      </c>
      <c r="B16" s="20" t="s">
        <v>79</v>
      </c>
      <c r="C16" s="17" t="s">
        <v>80</v>
      </c>
      <c r="D16" s="58">
        <f>'Quiz Marks'!M14</f>
        <v>9.166666667</v>
      </c>
      <c r="E16" s="59">
        <v>11.7</v>
      </c>
      <c r="F16" s="58">
        <f>'Mid Marks'!I14</f>
        <v>13.33333333</v>
      </c>
      <c r="G16" s="53">
        <f>'Final Marks'!I14</f>
        <v>16</v>
      </c>
      <c r="H16" s="58">
        <f t="shared" si="1"/>
        <v>50.2</v>
      </c>
      <c r="I16" s="63">
        <f t="shared" si="2"/>
        <v>50</v>
      </c>
      <c r="J16" s="64" t="str">
        <f t="shared" si="3"/>
        <v>D-</v>
      </c>
    </row>
    <row r="17">
      <c r="A17" s="33">
        <f t="shared" si="4"/>
        <v>10</v>
      </c>
      <c r="B17" s="20" t="s">
        <v>83</v>
      </c>
      <c r="C17" s="17" t="s">
        <v>84</v>
      </c>
      <c r="D17" s="58">
        <f>'Quiz Marks'!M15</f>
        <v>12.16666667</v>
      </c>
      <c r="E17" s="59">
        <v>5.7</v>
      </c>
      <c r="F17" s="58">
        <f>'Mid Marks'!I15</f>
        <v>12.5</v>
      </c>
      <c r="G17" s="53">
        <f>'Final Marks'!I15</f>
        <v>9</v>
      </c>
      <c r="H17" s="58">
        <f t="shared" si="1"/>
        <v>39.36666667</v>
      </c>
      <c r="I17" s="63">
        <f t="shared" si="2"/>
        <v>39</v>
      </c>
      <c r="J17" s="64" t="str">
        <f t="shared" si="3"/>
        <v>F</v>
      </c>
    </row>
    <row r="18">
      <c r="A18" s="33">
        <f t="shared" si="4"/>
        <v>11</v>
      </c>
      <c r="B18" s="20" t="s">
        <v>87</v>
      </c>
      <c r="C18" s="17" t="s">
        <v>88</v>
      </c>
      <c r="D18" s="58">
        <f>'Quiz Marks'!M16</f>
        <v>0</v>
      </c>
      <c r="E18" s="59">
        <v>0.0</v>
      </c>
      <c r="F18" s="58">
        <f>'Mid Marks'!I16</f>
        <v>7.5</v>
      </c>
      <c r="G18" s="53">
        <f>'Final Marks'!I16</f>
        <v>0</v>
      </c>
      <c r="H18" s="58">
        <f t="shared" si="1"/>
        <v>7.5</v>
      </c>
      <c r="I18" s="63">
        <f t="shared" si="2"/>
        <v>8</v>
      </c>
      <c r="J18" s="64" t="str">
        <f t="shared" si="3"/>
        <v>F</v>
      </c>
    </row>
    <row r="19">
      <c r="A19" s="33">
        <f t="shared" si="4"/>
        <v>12</v>
      </c>
      <c r="B19" s="20" t="s">
        <v>92</v>
      </c>
      <c r="C19" s="17" t="s">
        <v>93</v>
      </c>
      <c r="D19" s="58">
        <f>'Quiz Marks'!M17</f>
        <v>12.16666667</v>
      </c>
      <c r="E19" s="59">
        <v>14.9</v>
      </c>
      <c r="F19" s="58">
        <f>'Mid Marks'!I17</f>
        <v>12.5</v>
      </c>
      <c r="G19" s="53">
        <f>'Final Marks'!I17</f>
        <v>20</v>
      </c>
      <c r="H19" s="58">
        <f t="shared" si="1"/>
        <v>59.56666667</v>
      </c>
      <c r="I19" s="63">
        <f t="shared" si="2"/>
        <v>60</v>
      </c>
      <c r="J19" s="64" t="str">
        <f t="shared" si="3"/>
        <v>C</v>
      </c>
    </row>
    <row r="20">
      <c r="A20" s="33">
        <f t="shared" si="4"/>
        <v>13</v>
      </c>
      <c r="B20" s="20" t="s">
        <v>96</v>
      </c>
      <c r="C20" s="17" t="s">
        <v>97</v>
      </c>
      <c r="D20" s="58">
        <f>'Quiz Marks'!M18</f>
        <v>13.91666667</v>
      </c>
      <c r="E20" s="59">
        <v>14.2</v>
      </c>
      <c r="F20" s="58">
        <f>'Mid Marks'!I18</f>
        <v>15</v>
      </c>
      <c r="G20" s="53">
        <f>'Final Marks'!I18</f>
        <v>20</v>
      </c>
      <c r="H20" s="58">
        <f t="shared" si="1"/>
        <v>63.11666667</v>
      </c>
      <c r="I20" s="63">
        <f t="shared" si="2"/>
        <v>63</v>
      </c>
      <c r="J20" s="64" t="str">
        <f t="shared" si="3"/>
        <v>C</v>
      </c>
    </row>
    <row r="21">
      <c r="A21" s="33">
        <f t="shared" si="4"/>
        <v>14</v>
      </c>
      <c r="B21" s="20" t="s">
        <v>101</v>
      </c>
      <c r="C21" s="17" t="s">
        <v>102</v>
      </c>
      <c r="D21" s="58">
        <f>'Quiz Marks'!M19</f>
        <v>10.25</v>
      </c>
      <c r="E21" s="59">
        <v>17.8</v>
      </c>
      <c r="F21" s="58">
        <f>'Mid Marks'!I19</f>
        <v>19.16666667</v>
      </c>
      <c r="G21" s="53">
        <f>'Final Marks'!I19</f>
        <v>23</v>
      </c>
      <c r="H21" s="58">
        <f t="shared" si="1"/>
        <v>70.21666667</v>
      </c>
      <c r="I21" s="63">
        <f t="shared" si="2"/>
        <v>70</v>
      </c>
      <c r="J21" s="64" t="str">
        <f t="shared" si="3"/>
        <v>B-</v>
      </c>
    </row>
    <row r="22">
      <c r="A22" s="33">
        <f t="shared" si="4"/>
        <v>15</v>
      </c>
      <c r="B22" s="20" t="s">
        <v>105</v>
      </c>
      <c r="C22" s="17" t="s">
        <v>106</v>
      </c>
      <c r="D22" s="58">
        <f>'Quiz Marks'!M20</f>
        <v>11</v>
      </c>
      <c r="E22" s="59">
        <v>14.8</v>
      </c>
      <c r="F22" s="58">
        <f>'Mid Marks'!I20</f>
        <v>14.16666667</v>
      </c>
      <c r="G22" s="53">
        <f>'Final Marks'!I20</f>
        <v>15</v>
      </c>
      <c r="H22" s="58">
        <f t="shared" si="1"/>
        <v>54.96666667</v>
      </c>
      <c r="I22" s="63">
        <f t="shared" si="2"/>
        <v>55</v>
      </c>
      <c r="J22" s="64" t="str">
        <f t="shared" si="3"/>
        <v>D+</v>
      </c>
    </row>
    <row r="23">
      <c r="A23" s="33">
        <f t="shared" si="4"/>
        <v>16</v>
      </c>
      <c r="B23" s="20" t="s">
        <v>109</v>
      </c>
      <c r="C23" s="17" t="s">
        <v>110</v>
      </c>
      <c r="D23" s="58">
        <f>'Quiz Marks'!M21</f>
        <v>10.75</v>
      </c>
      <c r="E23" s="59">
        <v>16.6</v>
      </c>
      <c r="F23" s="58">
        <f>'Mid Marks'!I21</f>
        <v>17.5</v>
      </c>
      <c r="G23" s="53">
        <f>'Final Marks'!I21</f>
        <v>27</v>
      </c>
      <c r="H23" s="58">
        <f t="shared" si="1"/>
        <v>71.85</v>
      </c>
      <c r="I23" s="63">
        <f t="shared" si="2"/>
        <v>72</v>
      </c>
      <c r="J23" s="64" t="str">
        <f t="shared" si="3"/>
        <v>B-</v>
      </c>
    </row>
    <row r="24">
      <c r="A24" s="33">
        <f t="shared" si="4"/>
        <v>17</v>
      </c>
      <c r="B24" s="20" t="s">
        <v>113</v>
      </c>
      <c r="C24" s="17" t="s">
        <v>114</v>
      </c>
      <c r="D24" s="58">
        <f>'Quiz Marks'!M22</f>
        <v>12.91666667</v>
      </c>
      <c r="E24" s="59">
        <v>8.4</v>
      </c>
      <c r="F24" s="58">
        <f>'Mid Marks'!I22</f>
        <v>5.833333333</v>
      </c>
      <c r="G24" s="53">
        <f>'Final Marks'!I22</f>
        <v>12</v>
      </c>
      <c r="H24" s="58">
        <f t="shared" si="1"/>
        <v>39.15</v>
      </c>
      <c r="I24" s="63">
        <f t="shared" si="2"/>
        <v>39</v>
      </c>
      <c r="J24" s="64" t="str">
        <f t="shared" si="3"/>
        <v>F</v>
      </c>
    </row>
    <row r="25">
      <c r="A25" s="33">
        <f t="shared" si="4"/>
        <v>18</v>
      </c>
      <c r="B25" s="20" t="s">
        <v>117</v>
      </c>
      <c r="C25" s="17" t="s">
        <v>118</v>
      </c>
      <c r="D25" s="58">
        <f>'Quiz Marks'!M23</f>
        <v>0</v>
      </c>
      <c r="E25" s="59">
        <v>11.3</v>
      </c>
      <c r="F25" s="58">
        <f>'Mid Marks'!I23</f>
        <v>4.166666667</v>
      </c>
      <c r="G25" s="53">
        <f>'Final Marks'!I23</f>
        <v>0</v>
      </c>
      <c r="H25" s="58">
        <f t="shared" si="1"/>
        <v>15.46666667</v>
      </c>
      <c r="I25" s="63">
        <f t="shared" si="2"/>
        <v>15</v>
      </c>
      <c r="J25" s="64" t="str">
        <f t="shared" si="3"/>
        <v>F</v>
      </c>
    </row>
    <row r="26">
      <c r="A26" s="33">
        <f t="shared" si="4"/>
        <v>19</v>
      </c>
      <c r="B26" s="20" t="s">
        <v>121</v>
      </c>
      <c r="C26" s="17" t="s">
        <v>122</v>
      </c>
      <c r="D26" s="58">
        <f>'Quiz Marks'!M24</f>
        <v>13.41666667</v>
      </c>
      <c r="E26" s="59">
        <v>24.8</v>
      </c>
      <c r="F26" s="58">
        <f>'Mid Marks'!I24</f>
        <v>22.5</v>
      </c>
      <c r="G26" s="53">
        <f>'Final Marks'!I24</f>
        <v>29</v>
      </c>
      <c r="H26" s="58">
        <f t="shared" si="1"/>
        <v>89.71666667</v>
      </c>
      <c r="I26" s="63">
        <f t="shared" si="2"/>
        <v>90</v>
      </c>
      <c r="J26" s="64" t="str">
        <f t="shared" si="3"/>
        <v>A</v>
      </c>
    </row>
    <row r="27">
      <c r="A27" s="33">
        <f t="shared" si="4"/>
        <v>20</v>
      </c>
      <c r="B27" s="20" t="s">
        <v>126</v>
      </c>
      <c r="C27" s="17" t="s">
        <v>127</v>
      </c>
      <c r="D27" s="58">
        <f>'Quiz Marks'!M25</f>
        <v>4.583333333</v>
      </c>
      <c r="E27" s="59">
        <v>8.6</v>
      </c>
      <c r="F27" s="58">
        <f>'Mid Marks'!I25</f>
        <v>10.83333333</v>
      </c>
      <c r="G27" s="53">
        <f>'Final Marks'!I25</f>
        <v>3</v>
      </c>
      <c r="H27" s="58">
        <f t="shared" si="1"/>
        <v>27.01666667</v>
      </c>
      <c r="I27" s="63">
        <f t="shared" si="2"/>
        <v>27</v>
      </c>
      <c r="J27" s="64" t="str">
        <f t="shared" si="3"/>
        <v>F</v>
      </c>
    </row>
    <row r="28">
      <c r="A28" s="33">
        <f t="shared" si="4"/>
        <v>21</v>
      </c>
      <c r="B28" s="20" t="s">
        <v>130</v>
      </c>
      <c r="C28" s="17" t="s">
        <v>131</v>
      </c>
      <c r="D28" s="58">
        <f>'Quiz Marks'!M26</f>
        <v>2</v>
      </c>
      <c r="E28" s="59">
        <v>5.7</v>
      </c>
      <c r="F28" s="58">
        <f>'Mid Marks'!I26</f>
        <v>21.66666667</v>
      </c>
      <c r="G28" s="53">
        <f>'Final Marks'!I26</f>
        <v>0</v>
      </c>
      <c r="H28" s="58">
        <f t="shared" si="1"/>
        <v>29.36666667</v>
      </c>
      <c r="I28" s="63">
        <f t="shared" si="2"/>
        <v>29</v>
      </c>
      <c r="J28" s="64" t="str">
        <f t="shared" si="3"/>
        <v>F</v>
      </c>
    </row>
    <row r="29">
      <c r="A29" s="33">
        <f t="shared" si="4"/>
        <v>22</v>
      </c>
      <c r="B29" s="20" t="s">
        <v>134</v>
      </c>
      <c r="C29" s="17" t="s">
        <v>135</v>
      </c>
      <c r="D29" s="58">
        <f>'Quiz Marks'!M27</f>
        <v>7.416666667</v>
      </c>
      <c r="E29" s="59">
        <v>17.0</v>
      </c>
      <c r="F29" s="58">
        <f>'Mid Marks'!I27</f>
        <v>15</v>
      </c>
      <c r="G29" s="53">
        <f>'Final Marks'!I27</f>
        <v>13</v>
      </c>
      <c r="H29" s="58">
        <f t="shared" si="1"/>
        <v>52.41666667</v>
      </c>
      <c r="I29" s="63">
        <f t="shared" si="2"/>
        <v>52</v>
      </c>
      <c r="J29" s="64" t="str">
        <f t="shared" si="3"/>
        <v>D</v>
      </c>
    </row>
    <row r="30">
      <c r="A30" s="33">
        <f t="shared" si="4"/>
        <v>23</v>
      </c>
      <c r="B30" s="20" t="s">
        <v>138</v>
      </c>
      <c r="C30" s="17" t="s">
        <v>139</v>
      </c>
      <c r="D30" s="58">
        <f>'Quiz Marks'!M28</f>
        <v>9.5</v>
      </c>
      <c r="E30" s="59">
        <v>14.2</v>
      </c>
      <c r="F30" s="58">
        <f>'Mid Marks'!I28</f>
        <v>12.5</v>
      </c>
      <c r="G30" s="53">
        <f>'Final Marks'!I28</f>
        <v>20</v>
      </c>
      <c r="H30" s="58">
        <f t="shared" si="1"/>
        <v>56.2</v>
      </c>
      <c r="I30" s="63">
        <f t="shared" si="2"/>
        <v>56</v>
      </c>
      <c r="J30" s="64" t="str">
        <f t="shared" si="3"/>
        <v>D+</v>
      </c>
    </row>
    <row r="31">
      <c r="A31" s="33">
        <f t="shared" si="4"/>
        <v>24</v>
      </c>
      <c r="B31" s="20" t="s">
        <v>142</v>
      </c>
      <c r="C31" s="17" t="s">
        <v>143</v>
      </c>
      <c r="D31" s="58">
        <f>'Quiz Marks'!M29</f>
        <v>13.5</v>
      </c>
      <c r="E31" s="59">
        <v>20.2</v>
      </c>
      <c r="F31" s="58">
        <f>'Mid Marks'!I29</f>
        <v>13.33333333</v>
      </c>
      <c r="G31" s="53">
        <f>'Final Marks'!I29</f>
        <v>18</v>
      </c>
      <c r="H31" s="58">
        <f t="shared" si="1"/>
        <v>65.03333333</v>
      </c>
      <c r="I31" s="63">
        <f t="shared" si="2"/>
        <v>65</v>
      </c>
      <c r="J31" s="64" t="str">
        <f t="shared" si="3"/>
        <v>C+</v>
      </c>
    </row>
    <row r="32">
      <c r="A32" s="33">
        <f t="shared" si="4"/>
        <v>25</v>
      </c>
      <c r="B32" s="20" t="s">
        <v>146</v>
      </c>
      <c r="C32" s="17" t="s">
        <v>147</v>
      </c>
      <c r="D32" s="58">
        <f>'Quiz Marks'!M30</f>
        <v>4.083333333</v>
      </c>
      <c r="E32" s="59">
        <v>10.6</v>
      </c>
      <c r="F32" s="58">
        <f>'Mid Marks'!I30</f>
        <v>10</v>
      </c>
      <c r="G32" s="53">
        <f>'Final Marks'!I30</f>
        <v>14</v>
      </c>
      <c r="H32" s="58">
        <f t="shared" si="1"/>
        <v>38.68333333</v>
      </c>
      <c r="I32" s="63">
        <f t="shared" si="2"/>
        <v>39</v>
      </c>
      <c r="J32" s="64" t="str">
        <f t="shared" si="3"/>
        <v>F</v>
      </c>
    </row>
    <row r="33">
      <c r="A33" s="33">
        <f t="shared" si="4"/>
        <v>26</v>
      </c>
      <c r="B33" s="20" t="s">
        <v>150</v>
      </c>
      <c r="C33" s="17" t="s">
        <v>151</v>
      </c>
      <c r="D33" s="58">
        <f>'Quiz Marks'!M31</f>
        <v>12.33333333</v>
      </c>
      <c r="E33" s="59">
        <v>14.4</v>
      </c>
      <c r="F33" s="58">
        <f>'Mid Marks'!I31</f>
        <v>10</v>
      </c>
      <c r="G33" s="53">
        <f>'Final Marks'!I31</f>
        <v>20</v>
      </c>
      <c r="H33" s="58">
        <f t="shared" si="1"/>
        <v>56.73333333</v>
      </c>
      <c r="I33" s="63">
        <f t="shared" si="2"/>
        <v>57</v>
      </c>
      <c r="J33" s="64" t="str">
        <f t="shared" si="3"/>
        <v>C-</v>
      </c>
    </row>
    <row r="34">
      <c r="A34" s="33">
        <f t="shared" si="4"/>
        <v>27</v>
      </c>
      <c r="B34" s="20" t="s">
        <v>154</v>
      </c>
      <c r="C34" s="17" t="s">
        <v>155</v>
      </c>
      <c r="D34" s="58">
        <f>'Quiz Marks'!M32</f>
        <v>8.25</v>
      </c>
      <c r="E34" s="59">
        <v>10.9</v>
      </c>
      <c r="F34" s="58">
        <f>'Mid Marks'!I32</f>
        <v>15.83333333</v>
      </c>
      <c r="G34" s="53">
        <f>'Final Marks'!I32</f>
        <v>20</v>
      </c>
      <c r="H34" s="58">
        <f t="shared" si="1"/>
        <v>54.98333333</v>
      </c>
      <c r="I34" s="63">
        <f t="shared" si="2"/>
        <v>55</v>
      </c>
      <c r="J34" s="64" t="str">
        <f t="shared" si="3"/>
        <v>D+</v>
      </c>
    </row>
    <row r="35">
      <c r="A35" s="33">
        <f t="shared" si="4"/>
        <v>28</v>
      </c>
      <c r="B35" s="20" t="s">
        <v>158</v>
      </c>
      <c r="C35" s="17" t="s">
        <v>159</v>
      </c>
      <c r="D35" s="58">
        <f>'Quiz Marks'!M33</f>
        <v>0</v>
      </c>
      <c r="E35" s="59">
        <v>0.0</v>
      </c>
      <c r="F35" s="58">
        <f>'Mid Marks'!I33</f>
        <v>0</v>
      </c>
      <c r="G35" s="53">
        <f>'Final Marks'!I33</f>
        <v>0</v>
      </c>
      <c r="H35" s="58">
        <f t="shared" si="1"/>
        <v>0</v>
      </c>
      <c r="I35" s="63">
        <f t="shared" si="2"/>
        <v>0</v>
      </c>
      <c r="J35" s="64" t="str">
        <f t="shared" si="3"/>
        <v>F</v>
      </c>
    </row>
    <row r="36">
      <c r="A36" s="33">
        <f t="shared" si="4"/>
        <v>29</v>
      </c>
      <c r="B36" s="20" t="s">
        <v>162</v>
      </c>
      <c r="C36" s="17" t="s">
        <v>163</v>
      </c>
      <c r="D36" s="58">
        <f>'Quiz Marks'!M34</f>
        <v>0</v>
      </c>
      <c r="E36" s="59">
        <v>0.0</v>
      </c>
      <c r="F36" s="58">
        <f>'Mid Marks'!I34</f>
        <v>0</v>
      </c>
      <c r="G36" s="53">
        <f>'Final Marks'!I34</f>
        <v>0</v>
      </c>
      <c r="H36" s="58">
        <f t="shared" si="1"/>
        <v>0</v>
      </c>
      <c r="I36" s="63">
        <f t="shared" si="2"/>
        <v>0</v>
      </c>
      <c r="J36" s="64" t="str">
        <f t="shared" si="3"/>
        <v>F</v>
      </c>
    </row>
    <row r="37">
      <c r="A37" s="33">
        <f t="shared" si="4"/>
        <v>30</v>
      </c>
      <c r="B37" s="20" t="s">
        <v>166</v>
      </c>
      <c r="C37" s="17" t="s">
        <v>167</v>
      </c>
      <c r="D37" s="58">
        <f>'Quiz Marks'!M35</f>
        <v>14.16666667</v>
      </c>
      <c r="E37" s="59">
        <v>15.2</v>
      </c>
      <c r="F37" s="58">
        <f>'Mid Marks'!I35</f>
        <v>17.5</v>
      </c>
      <c r="G37" s="53">
        <f>'Final Marks'!I35</f>
        <v>23</v>
      </c>
      <c r="H37" s="58">
        <f t="shared" si="1"/>
        <v>69.86666667</v>
      </c>
      <c r="I37" s="63">
        <f t="shared" si="2"/>
        <v>70</v>
      </c>
      <c r="J37" s="64" t="str">
        <f t="shared" si="3"/>
        <v>B-</v>
      </c>
    </row>
    <row r="38">
      <c r="A38" s="33">
        <f t="shared" si="4"/>
        <v>31</v>
      </c>
      <c r="B38" s="20" t="s">
        <v>170</v>
      </c>
      <c r="C38" s="17" t="s">
        <v>171</v>
      </c>
      <c r="D38" s="58">
        <f>'Quiz Marks'!M36</f>
        <v>4.75</v>
      </c>
      <c r="E38" s="59">
        <v>8.8</v>
      </c>
      <c r="F38" s="58">
        <f>'Mid Marks'!I36</f>
        <v>5.833333333</v>
      </c>
      <c r="G38" s="53">
        <f>'Final Marks'!I36</f>
        <v>9</v>
      </c>
      <c r="H38" s="58">
        <f t="shared" si="1"/>
        <v>28.38333333</v>
      </c>
      <c r="I38" s="63">
        <f t="shared" si="2"/>
        <v>28</v>
      </c>
      <c r="J38" s="64" t="str">
        <f t="shared" si="3"/>
        <v>F</v>
      </c>
    </row>
    <row r="39">
      <c r="A39" s="33">
        <f t="shared" si="4"/>
        <v>32</v>
      </c>
      <c r="B39" s="20" t="s">
        <v>174</v>
      </c>
      <c r="C39" s="17" t="s">
        <v>175</v>
      </c>
      <c r="D39" s="58">
        <f>'Quiz Marks'!M37</f>
        <v>9.5</v>
      </c>
      <c r="E39" s="59">
        <v>16.9</v>
      </c>
      <c r="F39" s="58">
        <f>'Mid Marks'!I37</f>
        <v>17.5</v>
      </c>
      <c r="G39" s="53">
        <f>'Final Marks'!I37</f>
        <v>21</v>
      </c>
      <c r="H39" s="58">
        <f t="shared" si="1"/>
        <v>64.9</v>
      </c>
      <c r="I39" s="63">
        <f t="shared" si="2"/>
        <v>65</v>
      </c>
      <c r="J39" s="64" t="str">
        <f t="shared" si="3"/>
        <v>C+</v>
      </c>
    </row>
    <row r="40">
      <c r="A40" s="33">
        <f t="shared" si="4"/>
        <v>33</v>
      </c>
      <c r="B40" s="20" t="s">
        <v>178</v>
      </c>
      <c r="C40" s="17" t="s">
        <v>179</v>
      </c>
      <c r="D40" s="58">
        <f>'Quiz Marks'!M38</f>
        <v>6.666666667</v>
      </c>
      <c r="E40" s="59">
        <v>12.0</v>
      </c>
      <c r="F40" s="58">
        <f>'Mid Marks'!I38</f>
        <v>10.83333333</v>
      </c>
      <c r="G40" s="53">
        <f>'Final Marks'!I38</f>
        <v>13</v>
      </c>
      <c r="H40" s="58">
        <f t="shared" si="1"/>
        <v>42.5</v>
      </c>
      <c r="I40" s="63">
        <f t="shared" si="2"/>
        <v>43</v>
      </c>
      <c r="J40" s="64" t="str">
        <f t="shared" si="3"/>
        <v>F</v>
      </c>
    </row>
    <row r="41">
      <c r="A41" s="33">
        <f t="shared" si="4"/>
        <v>34</v>
      </c>
      <c r="B41" s="20" t="s">
        <v>182</v>
      </c>
      <c r="C41" s="17" t="s">
        <v>183</v>
      </c>
      <c r="D41" s="58">
        <f>'Quiz Marks'!M39</f>
        <v>0</v>
      </c>
      <c r="F41" s="58">
        <f>'Mid Marks'!I39</f>
        <v>0</v>
      </c>
      <c r="G41" s="53">
        <f>'Final Marks'!I39</f>
        <v>0</v>
      </c>
      <c r="H41" s="58">
        <f t="shared" si="1"/>
        <v>0</v>
      </c>
      <c r="I41" s="63">
        <f t="shared" si="2"/>
        <v>0</v>
      </c>
      <c r="J41" s="64" t="str">
        <f t="shared" si="3"/>
        <v>F</v>
      </c>
    </row>
    <row r="42">
      <c r="A42" s="33">
        <f t="shared" si="4"/>
        <v>35</v>
      </c>
      <c r="B42" s="20" t="s">
        <v>186</v>
      </c>
      <c r="C42" s="17" t="s">
        <v>187</v>
      </c>
      <c r="D42" s="58">
        <f>'Quiz Marks'!M40</f>
        <v>8.25</v>
      </c>
      <c r="E42" s="59">
        <v>19.0</v>
      </c>
      <c r="F42" s="58">
        <f>'Mid Marks'!I40</f>
        <v>16.66666667</v>
      </c>
      <c r="G42" s="53">
        <f>'Final Marks'!I40</f>
        <v>16</v>
      </c>
      <c r="H42" s="58">
        <f t="shared" si="1"/>
        <v>59.91666667</v>
      </c>
      <c r="I42" s="63">
        <f t="shared" si="2"/>
        <v>60</v>
      </c>
      <c r="J42" s="64" t="str">
        <f t="shared" si="3"/>
        <v>C</v>
      </c>
    </row>
    <row r="43">
      <c r="A43" s="33">
        <f t="shared" si="4"/>
        <v>36</v>
      </c>
      <c r="B43" s="20" t="s">
        <v>190</v>
      </c>
      <c r="C43" s="17" t="s">
        <v>191</v>
      </c>
      <c r="D43" s="58">
        <f>'Quiz Marks'!M41</f>
        <v>4</v>
      </c>
      <c r="E43" s="59">
        <v>8.4</v>
      </c>
      <c r="F43" s="58">
        <f>'Mid Marks'!I41</f>
        <v>13.33333333</v>
      </c>
      <c r="G43" s="53">
        <f>'Final Marks'!I41</f>
        <v>17</v>
      </c>
      <c r="H43" s="58">
        <f t="shared" si="1"/>
        <v>42.73333333</v>
      </c>
      <c r="I43" s="63">
        <f t="shared" si="2"/>
        <v>43</v>
      </c>
      <c r="J43" s="64" t="str">
        <f t="shared" si="3"/>
        <v>F</v>
      </c>
    </row>
    <row r="44">
      <c r="A44" s="33">
        <f t="shared" si="4"/>
        <v>37</v>
      </c>
      <c r="B44" s="20" t="s">
        <v>194</v>
      </c>
      <c r="C44" s="17" t="s">
        <v>195</v>
      </c>
      <c r="D44" s="58">
        <f>'Quiz Marks'!M42</f>
        <v>14.16666667</v>
      </c>
      <c r="E44" s="59">
        <v>16.0</v>
      </c>
      <c r="F44" s="58">
        <f>'Mid Marks'!I42</f>
        <v>11.66666667</v>
      </c>
      <c r="G44" s="53">
        <f>'Final Marks'!I42</f>
        <v>18</v>
      </c>
      <c r="H44" s="58">
        <f t="shared" si="1"/>
        <v>59.83333333</v>
      </c>
      <c r="I44" s="63">
        <f t="shared" si="2"/>
        <v>60</v>
      </c>
      <c r="J44" s="64" t="str">
        <f t="shared" si="3"/>
        <v>C</v>
      </c>
    </row>
    <row r="45">
      <c r="A45" s="33">
        <f t="shared" si="4"/>
        <v>38</v>
      </c>
      <c r="B45" s="20" t="s">
        <v>198</v>
      </c>
      <c r="C45" s="17" t="s">
        <v>199</v>
      </c>
      <c r="D45" s="58">
        <f>'Quiz Marks'!M43</f>
        <v>8.083333333</v>
      </c>
      <c r="E45" s="59">
        <v>17.2</v>
      </c>
      <c r="F45" s="58">
        <f>'Mid Marks'!I43</f>
        <v>13.33333333</v>
      </c>
      <c r="G45" s="53">
        <f>'Final Marks'!I43</f>
        <v>18</v>
      </c>
      <c r="H45" s="58">
        <f t="shared" si="1"/>
        <v>56.61666667</v>
      </c>
      <c r="I45" s="63">
        <f t="shared" si="2"/>
        <v>57</v>
      </c>
      <c r="J45" s="64" t="str">
        <f t="shared" si="3"/>
        <v>C-</v>
      </c>
    </row>
    <row r="46">
      <c r="A46" s="33">
        <f t="shared" si="4"/>
        <v>39</v>
      </c>
      <c r="B46" s="20" t="s">
        <v>202</v>
      </c>
      <c r="C46" s="17" t="s">
        <v>203</v>
      </c>
      <c r="D46" s="58">
        <f>'Quiz Marks'!M44</f>
        <v>9.083333333</v>
      </c>
      <c r="E46" s="59">
        <v>15.3</v>
      </c>
      <c r="F46" s="58">
        <f>'Mid Marks'!I44</f>
        <v>11.66666667</v>
      </c>
      <c r="G46" s="53">
        <f>'Final Marks'!I44</f>
        <v>14</v>
      </c>
      <c r="H46" s="58">
        <f t="shared" si="1"/>
        <v>50.05</v>
      </c>
      <c r="I46" s="63">
        <f t="shared" si="2"/>
        <v>50</v>
      </c>
      <c r="J46" s="64" t="str">
        <f t="shared" si="3"/>
        <v>D-</v>
      </c>
    </row>
    <row r="47">
      <c r="A47" s="33">
        <f t="shared" si="4"/>
        <v>40</v>
      </c>
      <c r="B47" s="20" t="s">
        <v>206</v>
      </c>
      <c r="C47" s="17" t="s">
        <v>207</v>
      </c>
      <c r="D47" s="58">
        <f>'Quiz Marks'!M45</f>
        <v>6.166666667</v>
      </c>
      <c r="E47" s="59">
        <v>21.1</v>
      </c>
      <c r="F47" s="58">
        <f>'Mid Marks'!I45</f>
        <v>12.5</v>
      </c>
      <c r="G47" s="53">
        <f>'Final Marks'!I45</f>
        <v>16</v>
      </c>
      <c r="H47" s="58">
        <f t="shared" si="1"/>
        <v>55.76666667</v>
      </c>
      <c r="I47" s="63">
        <f t="shared" si="2"/>
        <v>56</v>
      </c>
      <c r="J47" s="64" t="str">
        <f t="shared" si="3"/>
        <v>D+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2026-07-23T19:51:41+06:00</dcterms:created>
  <dc:creator>Unknown Creator</dc:creator>
</cp:coreProperties>
</file>